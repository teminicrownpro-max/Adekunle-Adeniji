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11.xml" ContentType="application/vnd.openxmlformats-officedocument.drawingml.chart+xml"/>
  <Override PartName="/xl/charts/chart7.xml" ContentType="application/vnd.openxmlformats-officedocument.drawingml.chart+xml"/>
  <Override PartName="/xl/charts/chart12.xml" ContentType="application/vnd.openxmlformats-officedocument.drawingml.chart+xml"/>
  <Override PartName="/xl/charts/chart8.xml" ContentType="application/vnd.openxmlformats-officedocument.drawingml.chart+xml"/>
  <Override PartName="/xl/charts/chart13.xml" ContentType="application/vnd.openxmlformats-officedocument.drawingml.chart+xml"/>
  <Override PartName="/xl/charts/chart9.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_Here" sheetId="1" state="visible" r:id="rId3"/>
    <sheet name="Responses" sheetId="2" state="visible" r:id="rId4"/>
    <sheet name="Summary" sheetId="3" state="visible" r:id="rId5"/>
    <sheet name="XTab_Age" sheetId="4" state="visible" r:id="rId6"/>
    <sheet name="XTab_Role" sheetId="5" state="visible" r:id="rId7"/>
    <sheet name="XTab_Guidance" sheetId="6" state="visible" r:id="rId8"/>
    <sheet name="Codebook"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<sst xmlns="http://schemas.openxmlformats.org/spreadsheetml/2006/main" count="1107" uniqueCount="279">
  <si>
    <t xml:space="preserve">MGMT-6124 Questionnaire Assignment: Analysis Workbook</t>
  </si>
  <si>
    <t xml:space="preserve">Topic: Generative AI at Work and in School. This workbook is empty until you paste in your REAL survey responses. Nothing here is sample data.</t>
  </si>
  <si>
    <t xml:space="preserve">How to use it</t>
  </si>
  <si>
    <t xml:space="preserve">1. Build the Google Form (create_form.gs does it for you), share it, and let responses come in.</t>
  </si>
  <si>
    <t xml:space="preserve">2. In the form: Responses &gt; Link to Sheets (or the three-dot menu &gt; Download responses (.csv)).</t>
  </si>
  <si>
    <t xml:space="preserve">3. Open the export. Copy ALL cells, including the header row, and paste into Responses!A1. Column ORDER must stay the same (Timestamp, then Q1 to Q14, with Q6 as three columns). Header wording does not matter to the formulas.</t>
  </si>
  <si>
    <t xml:space="preserve">4. Check the Live check box below. Then read Summary (one block + chart per question), then the XTab sheets (differences by group).</t>
  </si>
  <si>
    <t xml:space="preserve">5. Look at the 'Largest differences' table at the top of each XTab sheet. Those are your candidate 'interesting findings'. Then confirm them by looking at the group sizes (small groups are flagged red).</t>
  </si>
  <si>
    <t xml:space="preserve">6. Copy charts/tables into your report. Write the interpretation in the yellow cells on Summary as you go.</t>
  </si>
  <si>
    <t xml:space="preserve">Settings (blue text on yellow = you can edit)</t>
  </si>
  <si>
    <t xml:space="preserve">Minimum respondents required (assignment)</t>
  </si>
  <si>
    <t xml:space="preserve">The assignment requires at least 30 respondents.</t>
  </si>
  <si>
    <t xml:space="preserve">People you invited (for overall response rate)</t>
  </si>
  <si>
    <t xml:space="preserve">Add up everyone you sent the link to. Leave blank until you know.</t>
  </si>
  <si>
    <t xml:space="preserve">Small-group warning below n =</t>
  </si>
  <si>
    <t xml:space="preserve">Groups smaller than this are flagged red on the XTab sheets. Treat their percentages as anecdotal.</t>
  </si>
  <si>
    <t xml:space="preserve">'Notable difference' gap (percentage points)</t>
  </si>
  <si>
    <t xml:space="preserve">Gaps between groups at or above this are highlighted amber on the XTab sheets.</t>
  </si>
  <si>
    <t xml:space="preserve">Live check (formulas, do not overwrite)</t>
  </si>
  <si>
    <t xml:space="preserve">Total responses received</t>
  </si>
  <si>
    <t xml:space="preserve">Minimum met?</t>
  </si>
  <si>
    <t xml:space="preserve">Overall response rate (responses / people invited)</t>
  </si>
  <si>
    <t xml:space="preserve">Respondents who use AI tools (shown Q4 to Q7)</t>
  </si>
  <si>
    <t xml:space="preserve">Share of respondents who use AI tools</t>
  </si>
  <si>
    <t xml:space="preserve">Branching: who is asked what</t>
  </si>
  <si>
    <t xml:space="preserve">Anyone who answers 'Never' to Q3 skips Q4 to Q7 (they do not use AI tools, so the questions do not apply). Those blanks are NOT missing data. On Summary, 'Base' for Q4 to Q7 is therefore the number of AI users, and the response rate is answered / base.</t>
  </si>
  <si>
    <t xml:space="preserve">Format example of ONE pasted row (not counted anywhere)</t>
  </si>
  <si>
    <t xml:space="preserve">Column (Responses sheet)</t>
  </si>
  <si>
    <t xml:space="preserve">Example value</t>
  </si>
  <si>
    <t xml:space="preserve">Note</t>
  </si>
  <si>
    <t xml:space="preserve">Timestamp</t>
  </si>
  <si>
    <t xml:space="preserve">2026-10-20 14:32:07</t>
  </si>
  <si>
    <t xml:space="preserve">Added automatically by Google Forms.</t>
  </si>
  <si>
    <t xml:space="preserve">Q1 Age group</t>
  </si>
  <si>
    <t xml:space="preserve">25 to 34</t>
  </si>
  <si>
    <t xml:space="preserve">Text must match the option wording on the form.</t>
  </si>
  <si>
    <t xml:space="preserve">Q2 Main activity</t>
  </si>
  <si>
    <t xml:space="preserve">Employed only (full-time or part-time)</t>
  </si>
  <si>
    <t xml:space="preserve">Q3 Frequency of use</t>
  </si>
  <si>
    <t xml:space="preserve">A few times a week</t>
  </si>
  <si>
    <t xml:space="preserve">Q4 Tasks AI is used for</t>
  </si>
  <si>
    <t xml:space="preserve">Writing or editing, Research or summarizing</t>
  </si>
  <si>
    <t xml:space="preserve">Checkbox answers arrive as ONE cell with answers separated by commas. The workbook searches inside the cell.</t>
  </si>
  <si>
    <t xml:space="preserve">Q5 Hours saved per week</t>
  </si>
  <si>
    <t xml:space="preserve">1 to 3 hours</t>
  </si>
  <si>
    <t xml:space="preserve">Q6 [AI tools help me complete tasks fa...]</t>
  </si>
  <si>
    <t xml:space="preserve">Agree</t>
  </si>
  <si>
    <t xml:space="preserve">Exactly one of: Strongly disagree, Disagree, Neutral, Agree, Strongly agree</t>
  </si>
  <si>
    <t xml:space="preserve">Q6 [AI tools improve the quality of my...]</t>
  </si>
  <si>
    <t xml:space="preserve">Q6 [I always check AI-generated output...]</t>
  </si>
  <si>
    <t xml:space="preserve">Q7 Confidence using AI</t>
  </si>
  <si>
    <t xml:space="preserve">4</t>
  </si>
  <si>
    <t xml:space="preserve">Scale answers are numbers 1 to 5.</t>
  </si>
  <si>
    <t xml:space="preserve">Q8 Guidance received</t>
  </si>
  <si>
    <t xml:space="preserve">Written policy or guidelines only</t>
  </si>
  <si>
    <t xml:space="preserve">Q9 Organization's approach</t>
  </si>
  <si>
    <t xml:space="preserve">Allowed with rules</t>
  </si>
  <si>
    <t xml:space="preserve">Q10 Barriers</t>
  </si>
  <si>
    <t xml:space="preserve">Concerns about accuracy, Lack of training or skills</t>
  </si>
  <si>
    <t xml:space="preserve">Q11 Job-risk concern</t>
  </si>
  <si>
    <t xml:space="preserve">3</t>
  </si>
  <si>
    <t xml:space="preserve">Q12 Investment priority</t>
  </si>
  <si>
    <t xml:space="preserve">Training workshops</t>
  </si>
  <si>
    <t xml:space="preserve">Q13 Use in next 12 months</t>
  </si>
  <si>
    <t xml:space="preserve">Increase a little</t>
  </si>
  <si>
    <t xml:space="preserve">Q14 Open comment</t>
  </si>
  <si>
    <t xml:space="preserve">(any free text, or blank)</t>
  </si>
  <si>
    <t xml:space="preserve">Optional. Blank is normal.</t>
  </si>
  <si>
    <t xml:space="preserve">Making a real PivotTable (your professor asked for pivot tables / cross tabs in Excel)</t>
  </si>
  <si>
    <t xml:space="preserve">The XTab sheets already hold formula-based cross tabulations. To also show a PivotTable (recommended, it is what the course video teaches), do this at least once for your report:</t>
  </si>
  <si>
    <t xml:space="preserve">a) Click any cell in the Responses table. Insert &gt; PivotTable &gt; New Worksheet.</t>
  </si>
  <si>
    <t xml:space="preserve">b) Drag 'Q1. Which age group are you in?' to Rows, 'Q3. How often do you use...' to Columns, and Q3 again to Values (Count).</t>
  </si>
  <si>
    <t xml:space="preserve">c) Right-click a value &gt; Show Values As &gt; % of Column Total to compare groups fairly when group sizes differ.</t>
  </si>
  <si>
    <t xml:space="preserve">d) Insert &gt; PivotChart for a graphic. Screenshot it for the report. Repeat with Q2 (main activity) as the row field.</t>
  </si>
  <si>
    <t xml:space="preserve">Tip: a PivotTable cannot split the comma-separated checkbox cells (Q4, Q10). Use the XTab sheets for those questions.</t>
  </si>
  <si>
    <t xml:space="preserve">Colour key</t>
  </si>
  <si>
    <t xml:space="preserve">Input / editable</t>
  </si>
  <si>
    <t xml:space="preserve">Everything else is a formula or fixed label. Sheet limit: 999 responses.</t>
  </si>
  <si>
    <t xml:space="preserve">Q1. Which age group are you in?</t>
  </si>
  <si>
    <t xml:space="preserve">Q2. Which best describes what you do right now?</t>
  </si>
  <si>
    <t xml:space="preserve">Q3. How often do you use generative AI tools (for example ChatGPT, Copilot, Gemini or Claude) for work or study?</t>
  </si>
  <si>
    <t xml:space="preserve">Q4. Which tasks do you use AI tools for? Select all that apply.</t>
  </si>
  <si>
    <t xml:space="preserve">Q5. On average, about how much time per week do AI tools save you?</t>
  </si>
  <si>
    <t xml:space="preserve">Q6. How much do you agree with each statement about your own use of AI tools? [AI tools help me complete tasks faster.]</t>
  </si>
  <si>
    <t xml:space="preserve">Q6. How much do you agree with each statement about your own use of AI tools? [AI tools improve the quality of my work.]</t>
  </si>
  <si>
    <t xml:space="preserve">Q6. How much do you agree with each statement about your own use of AI tools? [I always check AI-generated output before I use it.]</t>
  </si>
  <si>
    <t xml:space="preserve">Q7. How confident are you in your ability to use AI tools effectively?</t>
  </si>
  <si>
    <t xml:space="preserve">Q8. Which best describes the guidance you have received about using AI tools from your employer or school?</t>
  </si>
  <si>
    <t xml:space="preserve">Q9. Which best describes your employer's or school's current approach to AI tools?</t>
  </si>
  <si>
    <t xml:space="preserve">Q10. What are the biggest barriers to using AI tools (more) in your work or study? Select up to 3.</t>
  </si>
  <si>
    <t xml:space="preserve">Q11. "AI will reduce job opportunities in my field over the next 5 years." How much do you agree?</t>
  </si>
  <si>
    <t xml:space="preserve">Q12. If your employer or school invested in ONE of these, which would help you most?</t>
  </si>
  <si>
    <t xml:space="preserve">Q13. Over the next 12 months, do you expect your use of AI tools to change?</t>
  </si>
  <si>
    <t xml:space="preserve">Q14. In a sentence or two, what is the single biggest benefit or risk of AI tools for your work or study? (optional)</t>
  </si>
  <si>
    <t xml:space="preserve">Question-by-question summary</t>
  </si>
  <si>
    <t xml:space="preserve">Counts, % and charts update automatically from the Responses sheet. 'Response rate' = answered / base (those shown the question).</t>
  </si>
  <si>
    <t xml:space="preserve">Total responses:</t>
  </si>
  <si>
    <t xml:space="preserve">Type: Multiple choice (single answer)  |  Base: all respondents</t>
  </si>
  <si>
    <t xml:space="preserve">Response option</t>
  </si>
  <si>
    <t xml:space="preserve">Count</t>
  </si>
  <si>
    <t xml:space="preserve">% of answered</t>
  </si>
  <si>
    <t xml:space="preserve">18 to 24</t>
  </si>
  <si>
    <t xml:space="preserve">35 to 44</t>
  </si>
  <si>
    <t xml:space="preserve">45 or older</t>
  </si>
  <si>
    <t xml:space="preserve">Answered (n)</t>
  </si>
  <si>
    <t xml:space="preserve">Base (shown the question)</t>
  </si>
  <si>
    <t xml:space="preserve">Response rate</t>
  </si>
  <si>
    <t xml:space="preserve">Unmatched answers (should be 0; if not, edit label to match the form)</t>
  </si>
  <si>
    <t xml:space="preserve">Interpretation (draft your 2 to 3 sentences here):</t>
  </si>
  <si>
    <t xml:space="preserve">Student only</t>
  </si>
  <si>
    <t xml:space="preserve">Both student and employed</t>
  </si>
  <si>
    <t xml:space="preserve">Neither at the moment</t>
  </si>
  <si>
    <t xml:space="preserve">Never</t>
  </si>
  <si>
    <t xml:space="preserve">Less than once a month</t>
  </si>
  <si>
    <t xml:space="preserve">A few times a month</t>
  </si>
  <si>
    <t xml:space="preserve">Daily</t>
  </si>
  <si>
    <t xml:space="preserve">Type: Checkboxes (select all / up to N)  |  Base: AI users only (anyone not answering 'Never' on Q3)</t>
  </si>
  <si>
    <t xml:space="preserve">Writing or editing</t>
  </si>
  <si>
    <t xml:space="preserve">Research or summarizing</t>
  </si>
  <si>
    <t xml:space="preserve">Brainstorming ideas</t>
  </si>
  <si>
    <t xml:space="preserve">Analyzing data or spreadsheets</t>
  </si>
  <si>
    <t xml:space="preserve">Coding or technical help</t>
  </si>
  <si>
    <t xml:space="preserve">Translation or language support</t>
  </si>
  <si>
    <t xml:space="preserve">Scheduling or admin tasks</t>
  </si>
  <si>
    <t xml:space="preserve">Checkbox question: % are of respondents, so they add to more than 100%.</t>
  </si>
  <si>
    <t xml:space="preserve">Type: Multiple choice (single answer)  |  Base: AI users only (anyone not answering 'Never' on Q3)</t>
  </si>
  <si>
    <t xml:space="preserve">None - no time saved</t>
  </si>
  <si>
    <t xml:space="preserve">Less than 1 hour</t>
  </si>
  <si>
    <t xml:space="preserve">4 to 6 hours</t>
  </si>
  <si>
    <t xml:space="preserve">7 or more hours</t>
  </si>
  <si>
    <t xml:space="preserve">Q6. How much do you agree with each statement about your own use of AI tools?</t>
  </si>
  <si>
    <t xml:space="preserve">Type: Likert grid (5-point agreement)  |  Base: AI users only (anyone not answering 'Never' on Q3)</t>
  </si>
  <si>
    <t xml:space="preserve">Counts</t>
  </si>
  <si>
    <t xml:space="preserve">Strongly disagree</t>
  </si>
  <si>
    <t xml:space="preserve">Disagree</t>
  </si>
  <si>
    <t xml:space="preserve">Neutral</t>
  </si>
  <si>
    <t xml:space="preserve">Strongly agree</t>
  </si>
  <si>
    <t xml:space="preserve">Answered</t>
  </si>
  <si>
    <t xml:space="preserve">AI tools help me complete tasks faster.</t>
  </si>
  <si>
    <t xml:space="preserve">AI tools improve the quality of my work.</t>
  </si>
  <si>
    <t xml:space="preserve">I always check AI-generated output before I use it.</t>
  </si>
  <si>
    <t xml:space="preserve">% agree or strongly agree</t>
  </si>
  <si>
    <t xml:space="preserve">Response rate (lowest of the 3 statements)</t>
  </si>
  <si>
    <t xml:space="preserve">Unmatched answers (should be 0)</t>
  </si>
  <si>
    <t xml:space="preserve">Type: Linear scale (1 to 5)  |  Base: AI users only (anyone not answering 'Never' on Q3)</t>
  </si>
  <si>
    <t xml:space="preserve">Rating</t>
  </si>
  <si>
    <t xml:space="preserve">1  (Not at all confident)</t>
  </si>
  <si>
    <t xml:space="preserve">2</t>
  </si>
  <si>
    <t xml:space="preserve">5  (Very confident)</t>
  </si>
  <si>
    <t xml:space="preserve">Mean rating</t>
  </si>
  <si>
    <t xml:space="preserve">Formal training</t>
  </si>
  <si>
    <t xml:space="preserve">Informal advice only</t>
  </si>
  <si>
    <t xml:space="preserve">No guidance at all</t>
  </si>
  <si>
    <t xml:space="preserve">Encouraged and supported</t>
  </si>
  <si>
    <t xml:space="preserve">Discouraged or restricted</t>
  </si>
  <si>
    <t xml:space="preserve">Banned</t>
  </si>
  <si>
    <t xml:space="preserve">Not sure or no policy</t>
  </si>
  <si>
    <t xml:space="preserve">Type: Checkboxes (select all / up to N)  |  Base: all respondents</t>
  </si>
  <si>
    <t xml:space="preserve">Concerns about accuracy</t>
  </si>
  <si>
    <t xml:space="preserve">Data privacy or confidentiality concerns</t>
  </si>
  <si>
    <t xml:space="preserve">Rules or policy restrictions</t>
  </si>
  <si>
    <t xml:space="preserve">Lack of training or skills</t>
  </si>
  <si>
    <t xml:space="preserve">Cost of tools</t>
  </si>
  <si>
    <t xml:space="preserve">Academic or professional integrity concerns</t>
  </si>
  <si>
    <t xml:space="preserve">I do not see a need</t>
  </si>
  <si>
    <t xml:space="preserve">Checkbox question: % are of respondents, so they add to more than 100%. Respondents could pick up to 3.</t>
  </si>
  <si>
    <t xml:space="preserve">Type: Linear scale (1 to 5)  |  Base: all respondents</t>
  </si>
  <si>
    <t xml:space="preserve">1  (Strongly disagree)</t>
  </si>
  <si>
    <t xml:space="preserve">5  (Strongly agree)</t>
  </si>
  <si>
    <t xml:space="preserve">Approved and secure AI tools</t>
  </si>
  <si>
    <t xml:space="preserve">Clear policy and guidelines</t>
  </si>
  <si>
    <t xml:space="preserve">Time to experiment with tools</t>
  </si>
  <si>
    <t xml:space="preserve">None of these - no investment needed</t>
  </si>
  <si>
    <t xml:space="preserve">Increase a lot</t>
  </si>
  <si>
    <t xml:space="preserve">Stay about the same</t>
  </si>
  <si>
    <t xml:space="preserve">Decrease</t>
  </si>
  <si>
    <t xml:space="preserve">I do not expect to use AI tools</t>
  </si>
  <si>
    <t xml:space="preserve">Type: Open-ended (paragraph)  |  Base: all respondents</t>
  </si>
  <si>
    <t xml:space="preserve">Theme coding (type your own theme names; count by reading the comments in Responses column Q)</t>
  </si>
  <si>
    <t xml:space="preserve">Cross-tabs by age group (Q1)</t>
  </si>
  <si>
    <t xml:space="preserve">Do answers differ by age? Percentages are within each age group. Counts on the left, column % on the right.</t>
  </si>
  <si>
    <t xml:space="preserve">Group</t>
  </si>
  <si>
    <t xml:space="preserve">n</t>
  </si>
  <si>
    <t xml:space="preserve">% of sample</t>
  </si>
  <si>
    <t xml:space="preserve">Flag</t>
  </si>
  <si>
    <t xml:space="preserve">Largest differences between groups (top 5, in percentage points)</t>
  </si>
  <si>
    <t xml:space="preserve">Row (question / option)</t>
  </si>
  <si>
    <t xml:space="preserve">Qn</t>
  </si>
  <si>
    <t xml:space="preserve">Gap</t>
  </si>
  <si>
    <t xml:space="preserve">Highest group</t>
  </si>
  <si>
    <t xml:space="preserve">Lowest group</t>
  </si>
  <si>
    <t xml:space="preserve">(row ref)</t>
  </si>
  <si>
    <t xml:space="preserve">A big gap with tiny groups is noise, not a finding. Check the red 'small n' flags above and the Base row of the block before you rely on a gap.</t>
  </si>
  <si>
    <t xml:space="preserve">Rows with a gap are highlighted amber when the gap reaches the threshold set on Start_Here. (Columns N to Q hold hidden helper formulas for this table.)</t>
  </si>
  <si>
    <t xml:space="preserve">Base = respondents in the group who answered the question</t>
  </si>
  <si>
    <t xml:space="preserve">Column % (within group)</t>
  </si>
  <si>
    <t xml:space="preserve">Gap (max - min)</t>
  </si>
  <si>
    <t xml:space="preserve">All</t>
  </si>
  <si>
    <t xml:space="preserve">Base (n answering)</t>
  </si>
  <si>
    <t xml:space="preserve">Q2</t>
  </si>
  <si>
    <t xml:space="preserve">Q3</t>
  </si>
  <si>
    <t xml:space="preserve">Q4</t>
  </si>
  <si>
    <t xml:space="preserve">Q5</t>
  </si>
  <si>
    <t xml:space="preserve">% agree or strongly agree: AI tools help me complete tasks faster.</t>
  </si>
  <si>
    <t xml:space="preserve">Q6</t>
  </si>
  <si>
    <t xml:space="preserve">% agree or strongly agree: AI tools improve the quality of my work.</t>
  </si>
  <si>
    <t xml:space="preserve">% agree or strongly agree: I always check AI-generated output before I use it.</t>
  </si>
  <si>
    <t xml:space="preserve">Rated 4 or 5 (high)</t>
  </si>
  <si>
    <t xml:space="preserve">Q7</t>
  </si>
  <si>
    <t xml:space="preserve">Mean rating (1 to 5)</t>
  </si>
  <si>
    <t xml:space="preserve">Q8</t>
  </si>
  <si>
    <t xml:space="preserve">Q9</t>
  </si>
  <si>
    <t xml:space="preserve">Q10</t>
  </si>
  <si>
    <t xml:space="preserve">Q11</t>
  </si>
  <si>
    <t xml:space="preserve">Q12</t>
  </si>
  <si>
    <t xml:space="preserve">Q13</t>
  </si>
  <si>
    <t xml:space="preserve">Cross-tabs by main activity (Q2)</t>
  </si>
  <si>
    <t xml:space="preserve">Do answers differ between students and workers? Percentages are within each group.</t>
  </si>
  <si>
    <t xml:space="preserve">Q1</t>
  </si>
  <si>
    <t xml:space="preserve">Cross-tabs by guidance received (Q8)</t>
  </si>
  <si>
    <t xml:space="preserve">Extra lens: does guidance received (Q8) go with confidence (Q7), speed/quality (Q6) and barriers (Q10)?</t>
  </si>
  <si>
    <t xml:space="preserve">Q</t>
  </si>
  <si>
    <t xml:space="preserve">Column</t>
  </si>
  <si>
    <t xml:space="preserve">Header text on the form</t>
  </si>
  <si>
    <t xml:space="preserve">Type</t>
  </si>
  <si>
    <t xml:space="preserve">Answer options</t>
  </si>
  <si>
    <t xml:space="preserve">Shown to</t>
  </si>
  <si>
    <t xml:space="preserve">Why we ask it</t>
  </si>
  <si>
    <t xml:space="preserve">B</t>
  </si>
  <si>
    <t xml:space="preserve">Multiple choice (single answer)</t>
  </si>
  <si>
    <t xml:space="preserve">18 to 24; 25 to 34; 35 to 44; 45 or older</t>
  </si>
  <si>
    <t xml:space="preserve">All respondents</t>
  </si>
  <si>
    <t xml:space="preserve">Primary demographic lens: lets us test whether adoption and attitudes differ by generation.</t>
  </si>
  <si>
    <t xml:space="preserve">C</t>
  </si>
  <si>
    <t xml:space="preserve">Student only; Employed only (full-time or part-time); Both student and employed; Neither at the moment</t>
  </si>
  <si>
    <t xml:space="preserve">Second lens: separates workplace experience from classroom experience.</t>
  </si>
  <si>
    <t xml:space="preserve">D</t>
  </si>
  <si>
    <t xml:space="preserve">Never; Less than once a month; A few times a month; A few times a week; Daily</t>
  </si>
  <si>
    <t xml:space="preserve">Core adoption measure. Ordered scale makes group comparisons easy. 'Never' branches non-users past questions that do not apply to them.</t>
  </si>
  <si>
    <t xml:space="preserve">E</t>
  </si>
  <si>
    <t xml:space="preserve">Checkboxes (select all / up to N)</t>
  </si>
  <si>
    <t xml:space="preserve">Writing or editing; Research or summarizing; Brainstorming ideas; Analyzing data or spreadsheets; Coding or technical help; Translation or language support; Scheduling or admin tasks</t>
  </si>
  <si>
    <t xml:space="preserve">AI users (Q3 not 'Never')</t>
  </si>
  <si>
    <t xml:space="preserve">Shows where AI is actually used, which tells an organization where training and tools would matter most.</t>
  </si>
  <si>
    <t xml:space="preserve">F</t>
  </si>
  <si>
    <t xml:space="preserve">None - no time saved; Less than 1 hour; 1 to 3 hours; 4 to 6 hours; 7 or more hours</t>
  </si>
  <si>
    <t xml:space="preserve">A concrete, business-relevant productivity measure (hours) rather than a vague opinion.</t>
  </si>
  <si>
    <t xml:space="preserve">G</t>
  </si>
  <si>
    <t xml:space="preserve">Likert grid (5-point agreement)</t>
  </si>
  <si>
    <t xml:space="preserve">Strongly disagree; Disagree; Neutral; Agree; Strongly agree</t>
  </si>
  <si>
    <t xml:space="preserve">Likert grid: efficient way to capture speed, quality and verification behaviour (a trust/risk proxy) in one question.</t>
  </si>
  <si>
    <t xml:space="preserve">H</t>
  </si>
  <si>
    <t xml:space="preserve">I</t>
  </si>
  <si>
    <t xml:space="preserve">J</t>
  </si>
  <si>
    <t xml:space="preserve">Linear scale (1 to 5)</t>
  </si>
  <si>
    <t xml:space="preserve">1 (Not at all confident) to 5 (Very confident)</t>
  </si>
  <si>
    <t xml:space="preserve">Self-rated skill. Cross-tabbed against training received (Q8) to test whether support builds confidence.</t>
  </si>
  <si>
    <t xml:space="preserve">K</t>
  </si>
  <si>
    <t xml:space="preserve">Formal training; Written policy or guidelines only; Informal advice only; No guidance at all</t>
  </si>
  <si>
    <t xml:space="preserve">Measures the support gap. Used as a third analysis lens against confidence and barriers.</t>
  </si>
  <si>
    <t xml:space="preserve">L</t>
  </si>
  <si>
    <t xml:space="preserve">Encouraged and supported; Allowed with rules; Discouraged or restricted; Banned; Not sure or no policy</t>
  </si>
  <si>
    <t xml:space="preserve">Captures the policy environment people work in, including how many do not know the policy.</t>
  </si>
  <si>
    <t xml:space="preserve">M</t>
  </si>
  <si>
    <t xml:space="preserve">Concerns about accuracy; Data privacy or confidentiality concerns; Rules or policy restrictions; Lack of training or skills; Cost of tools; Academic or professional integrity concerns; I do not see a need</t>
  </si>
  <si>
    <t xml:space="preserve">Limited to 3 choices to force prioritization. Answered by users and non-users alike.</t>
  </si>
  <si>
    <t xml:space="preserve">N</t>
  </si>
  <si>
    <t xml:space="preserve">1 (Strongly disagree) to 5 (Strongly agree)</t>
  </si>
  <si>
    <t xml:space="preserve">Gauges workforce anxiety, a change-management risk for any organization adopting AI.</t>
  </si>
  <si>
    <t xml:space="preserve">O</t>
  </si>
  <si>
    <t xml:space="preserve">Approved and secure AI tools; Training workshops; Clear policy and guidelines; Time to experiment with tools; None of these - no investment needed</t>
  </si>
  <si>
    <t xml:space="preserve">Directly supports the recommendation: where should an organization spend first?</t>
  </si>
  <si>
    <t xml:space="preserve">P</t>
  </si>
  <si>
    <t xml:space="preserve">Increase a lot; Increase a little; Stay about the same; Decrease; I do not expect to use AI tools</t>
  </si>
  <si>
    <t xml:space="preserve">Forward-looking adoption signal for planning.</t>
  </si>
  <si>
    <t xml:space="preserve">Q14</t>
  </si>
  <si>
    <t xml:space="preserve">Open-ended (paragraph)</t>
  </si>
  <si>
    <t xml:space="preserve">free text</t>
  </si>
  <si>
    <t xml:space="preserve">Open-ended question to capture reasons the closed questions miss. Optional, so response rate will be lower.</t>
  </si>
</sst>
</file>

<file path=xl/styles.xml><?xml version="1.0" encoding="utf-8"?>
<styleSheet xmlns="http://schemas.openxmlformats.org/spreadsheetml/2006/main">
  <numFmts count="6">
    <numFmt numFmtId="164" formatCode="General"/>
    <numFmt numFmtId="165" formatCode="0"/>
    <numFmt numFmtId="166" formatCode="0%"/>
    <numFmt numFmtId="167" formatCode="0.0%"/>
    <numFmt numFmtId="168" formatCode="0.00"/>
    <numFmt numFmtId="169" formatCode="0.000"/>
  </numFmts>
  <fonts count="25">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2"/>
      <color rgb="FFFFFFFF"/>
      <name val="Arial"/>
      <family val="0"/>
      <charset val="1"/>
    </font>
    <font>
      <sz val="10"/>
      <name val="Arial"/>
      <family val="0"/>
      <charset val="1"/>
    </font>
    <font>
      <sz val="10"/>
      <color rgb="FF0000FF"/>
      <name val="Arial"/>
      <family val="0"/>
      <charset val="1"/>
    </font>
    <font>
      <sz val="10"/>
      <color rgb="FF595959"/>
      <name val="Arial"/>
      <family val="0"/>
      <charset val="1"/>
    </font>
    <font>
      <b val="true"/>
      <sz val="10"/>
      <name val="Arial"/>
      <family val="0"/>
      <charset val="1"/>
    </font>
    <font>
      <b val="true"/>
      <sz val="10"/>
      <color rgb="FFFFFFFF"/>
      <name val="Arial"/>
      <family val="0"/>
      <charset val="1"/>
    </font>
    <font>
      <i val="true"/>
      <sz val="9"/>
      <color rgb="FF595959"/>
      <name val="Arial"/>
      <family val="0"/>
      <charset val="1"/>
    </font>
    <font>
      <sz val="8"/>
      <color rgb="FFC00000"/>
      <name val="Arial"/>
      <family val="0"/>
      <charset val="1"/>
    </font>
    <font>
      <sz val="9"/>
      <color rgb="FFC00000"/>
      <name val="Arial"/>
      <family val="0"/>
      <charset val="1"/>
    </font>
    <font>
      <b val="true"/>
      <sz val="10"/>
      <color rgb="FF595959"/>
      <name val="Arial"/>
      <family val="0"/>
      <charset val="1"/>
    </font>
    <font>
      <b val="true"/>
      <sz val="8"/>
      <name val="Arial"/>
      <family val="0"/>
      <charset val="1"/>
    </font>
    <font>
      <b val="true"/>
      <sz val="18"/>
      <color rgb="FF000000"/>
      <name val="Calibri"/>
      <family val="2"/>
    </font>
    <font>
      <sz val="10"/>
      <color rgb="FF000000"/>
      <name val="Calibri"/>
      <family val="2"/>
    </font>
    <font>
      <b val="true"/>
      <sz val="10"/>
      <color rgb="FFC00000"/>
      <name val="Arial"/>
      <family val="0"/>
      <charset val="1"/>
    </font>
    <font>
      <b val="true"/>
      <sz val="12"/>
      <color rgb="FF1F3864"/>
      <name val="Arial"/>
      <family val="0"/>
      <charset val="1"/>
    </font>
    <font>
      <sz val="8"/>
      <color rgb="FFBFBFBF"/>
      <name val="Arial"/>
      <family val="0"/>
      <charset val="1"/>
    </font>
    <font>
      <sz val="9"/>
      <name val="Arial"/>
      <family val="0"/>
      <charset val="1"/>
    </font>
    <font>
      <i val="true"/>
      <sz val="9"/>
      <color rgb="FFC00000"/>
      <name val="Arial"/>
      <family val="0"/>
      <charset val="1"/>
    </font>
    <font>
      <sz val="8"/>
      <color rgb="FFA6A6A6"/>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F9F9F9"/>
      </patternFill>
    </fill>
    <fill>
      <patternFill patternType="solid">
        <fgColor rgb="FFDCE6F2"/>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5" fontId="8" fillId="3" borderId="1" xfId="0" applyFont="true" applyBorder="true" applyAlignment="true" applyProtection="false">
      <alignment horizontal="center" vertical="bottom" textRotation="0" wrapText="false" indent="0" shrinkToFit="false"/>
      <protection locked="true" hidden="false"/>
    </xf>
    <xf numFmtId="166" fontId="8" fillId="3" borderId="1" xfId="0" applyFont="true" applyBorder="true" applyAlignment="true" applyProtection="false">
      <alignment horizontal="center"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7" fontId="7" fillId="0" borderId="1" xfId="0" applyFont="true" applyBorder="true" applyAlignment="true" applyProtection="false">
      <alignment horizontal="center"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general"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center" vertical="bottom" textRotation="0" wrapText="false" indent="0" shrinkToFit="false"/>
      <protection locked="true" hidden="false"/>
    </xf>
    <xf numFmtId="167" fontId="10" fillId="0" borderId="1" xfId="0" applyFont="tru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5" fontId="14" fillId="0" borderId="1" xfId="0" applyFont="tru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true" applyAlignment="true" applyProtection="false">
      <alignment horizontal="general" vertical="top" textRotation="0" wrapText="true" indent="0" shrinkToFit="false"/>
      <protection locked="true" hidden="false"/>
    </xf>
    <xf numFmtId="164" fontId="16" fillId="4"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true" applyProtection="false">
      <alignment horizontal="center" vertical="bottom" textRotation="0" wrapText="fals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true" applyAlignment="false" applyProtection="false">
      <alignment horizontal="general" vertical="bottom" textRotation="0" wrapText="false" indent="0" shrinkToFit="false"/>
      <protection locked="true" hidden="false"/>
    </xf>
    <xf numFmtId="164" fontId="21" fillId="2" borderId="0" xfId="0" applyFont="true" applyBorder="false" applyAlignment="false" applyProtection="false">
      <alignment horizontal="general" vertical="bottom" textRotation="0" wrapText="false" indent="0" shrinkToFit="false"/>
      <protection locked="true" hidden="false"/>
    </xf>
    <xf numFmtId="164" fontId="22" fillId="0" borderId="1" xfId="0" applyFont="true" applyBorder="true" applyAlignment="true" applyProtection="false">
      <alignment horizontal="general" vertical="top" textRotation="0" wrapText="true" indent="0" shrinkToFit="false"/>
      <protection locked="true" hidden="false"/>
    </xf>
    <xf numFmtId="166" fontId="10" fillId="0" borderId="1" xfId="0" applyFont="true" applyBorder="true" applyAlignment="true" applyProtection="false">
      <alignment horizontal="center"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true" applyAlignment="true" applyProtection="false">
      <alignment horizontal="center" vertical="center" textRotation="0" wrapText="true" indent="0" shrinkToFit="false"/>
      <protection locked="true" hidden="false"/>
    </xf>
    <xf numFmtId="164" fontId="10" fillId="4" borderId="0" xfId="0" applyFont="true" applyBorder="false" applyAlignment="true" applyProtection="false">
      <alignment horizontal="center" vertical="center" textRotation="0" wrapText="tru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9" fontId="24" fillId="0" borderId="0" xfId="0" applyFont="true" applyBorder="false" applyAlignment="fals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C6EFCE"/>
        </patternFill>
      </fill>
    </dxf>
    <dxf>
      <fill>
        <patternFill>
          <bgColor rgb="FFFFC7CE"/>
        </patternFill>
      </fill>
    </dxf>
    <dxf>
      <fill>
        <patternFill>
          <bgColor rgb="FFFFD966"/>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C0504D"/>
      <rgbColor rgb="FFFFF2CC"/>
      <rgbColor rgb="FFDCE6F2"/>
      <rgbColor rgb="FF660066"/>
      <rgbColor rgb="FFFF8080"/>
      <rgbColor rgb="FF2F6EA8"/>
      <rgbColor rgb="FFD9D9D9"/>
      <rgbColor rgb="FF000080"/>
      <rgbColor rgb="FFFF00FF"/>
      <rgbColor rgb="FFFFFF00"/>
      <rgbColor rgb="FF00FFFF"/>
      <rgbColor rgb="FF800080"/>
      <rgbColor rgb="FF800000"/>
      <rgbColor rgb="FF008080"/>
      <rgbColor rgb="FF0000FF"/>
      <rgbColor rgb="FF00CCFF"/>
      <rgbColor rgb="FFF9F9F9"/>
      <rgbColor rgb="FFC6EFCE"/>
      <rgbColor rgb="FFFFD966"/>
      <rgbColor rgb="FF8FB4D9"/>
      <rgbColor rgb="FFE6A5A3"/>
      <rgbColor rgb="FFCC99FF"/>
      <rgbColor rgb="FFFFC7CE"/>
      <rgbColor rgb="FF3366FF"/>
      <rgbColor rgb="FF33CCCC"/>
      <rgbColor rgb="FF99CC00"/>
      <rgbColor rgb="FFFFCC00"/>
      <rgbColor rgb="FFFF9900"/>
      <rgbColor rgb="FFFF6600"/>
      <rgbColor rgb="FF595959"/>
      <rgbColor rgb="FFA6A6A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Age group</a:t>
            </a:r>
          </a:p>
        </c:rich>
      </c:tx>
      <c:overlay val="0"/>
      <c:spPr>
        <a:noFill/>
        <a:ln w="0">
          <a:noFill/>
        </a:ln>
      </c:spPr>
    </c:title>
    <c:autoTitleDeleted val="0"/>
    <c:plotArea>
      <c:barChart>
        <c:barDir val="bar"/>
        <c:grouping val="clustered"/>
        <c:varyColors val="0"/>
        <c:ser>
          <c:idx val="0"/>
          <c:order val="0"/>
          <c:tx>
            <c:strRef>
              <c:f>Summary!C7</c:f>
              <c:strCache>
                <c:ptCount val="1"/>
                <c:pt idx="0">
                  <c:v>% of answered</c:v>
                </c:pt>
              </c:strCache>
            </c:strRef>
          </c:tx>
          <c:spPr>
            <a:solidFill>
              <a:srgbClr val="2f6ea8"/>
            </a:solidFill>
            <a:ln w="9360">
              <a:solidFill>
                <a:srgbClr val="f9f9f9"/>
              </a:solidFill>
              <a:round/>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Summary!$A$8:$A$11</c:f>
              <c:strCache>
                <c:ptCount val="4"/>
                <c:pt idx="0">
                  <c:v>18 to 24</c:v>
                </c:pt>
                <c:pt idx="1">
                  <c:v>25 to 34</c:v>
                </c:pt>
                <c:pt idx="2">
                  <c:v>35 to 44</c:v>
                </c:pt>
                <c:pt idx="3">
                  <c:v>45 or older</c:v>
                </c:pt>
              </c:strCache>
            </c:strRef>
          </c:cat>
          <c:val>
            <c:numRef>
              <c:f>Summary!$C$8:$C$11</c:f>
              <c:numCache>
                <c:formatCode>General</c:formatCode>
                <c:ptCount val="4"/>
              </c:numCache>
            </c:numRef>
          </c:val>
        </c:ser>
        <c:gapWidth val="150"/>
        <c:overlap val="0"/>
        <c:axId val="7455063"/>
        <c:axId val="50329559"/>
      </c:barChart>
      <c:catAx>
        <c:axId val="7455063"/>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329559"/>
        <c:crosses val="autoZero"/>
        <c:auto val="1"/>
        <c:lblAlgn val="ctr"/>
        <c:lblOffset val="100"/>
        <c:noMultiLvlLbl val="0"/>
      </c:catAx>
      <c:valAx>
        <c:axId val="50329559"/>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45506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Main activity</a:t>
            </a:r>
          </a:p>
        </c:rich>
      </c:tx>
      <c:overlay val="0"/>
      <c:spPr>
        <a:noFill/>
        <a:ln w="0">
          <a:noFill/>
        </a:ln>
      </c:spPr>
    </c:title>
    <c:autoTitleDeleted val="0"/>
    <c:plotArea>
      <c:barChart>
        <c:barDir val="bar"/>
        <c:grouping val="clustered"/>
        <c:varyColors val="0"/>
        <c:ser>
          <c:idx val="0"/>
          <c:order val="0"/>
          <c:tx>
            <c:strRef>
              <c:f>Summary!C27</c:f>
              <c:strCache>
                <c:ptCount val="1"/>
                <c:pt idx="0">
                  <c:v>% of answered</c:v>
                </c:pt>
              </c:strCache>
            </c:strRef>
          </c:tx>
          <c:spPr>
            <a:solidFill>
              <a:srgbClr val="2f6ea8"/>
            </a:solidFill>
            <a:ln w="9360">
              <a:solidFill>
                <a:srgbClr val="f9f9f9"/>
              </a:solidFill>
              <a:round/>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Summary!$A$28:$A$31</c:f>
              <c:strCache>
                <c:ptCount val="4"/>
                <c:pt idx="0">
                  <c:v>Student only</c:v>
                </c:pt>
                <c:pt idx="1">
                  <c:v>Employed only (full-time or part-time)</c:v>
                </c:pt>
                <c:pt idx="2">
                  <c:v>Both student and employed</c:v>
                </c:pt>
                <c:pt idx="3">
                  <c:v>Neither at the moment</c:v>
                </c:pt>
              </c:strCache>
            </c:strRef>
          </c:cat>
          <c:val>
            <c:numRef>
              <c:f>Summary!$C$28:$C$31</c:f>
              <c:numCache>
                <c:formatCode>General</c:formatCode>
                <c:ptCount val="4"/>
              </c:numCache>
            </c:numRef>
          </c:val>
        </c:ser>
        <c:gapWidth val="150"/>
        <c:overlap val="0"/>
        <c:axId val="9204723"/>
        <c:axId val="62321295"/>
      </c:barChart>
      <c:catAx>
        <c:axId val="9204723"/>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321295"/>
        <c:crosses val="autoZero"/>
        <c:auto val="1"/>
        <c:lblAlgn val="ctr"/>
        <c:lblOffset val="100"/>
        <c:noMultiLvlLbl val="0"/>
      </c:catAx>
      <c:valAx>
        <c:axId val="62321295"/>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0472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Frequency of use</a:t>
            </a:r>
          </a:p>
        </c:rich>
      </c:tx>
      <c:overlay val="0"/>
      <c:spPr>
        <a:noFill/>
        <a:ln w="0">
          <a:noFill/>
        </a:ln>
      </c:spPr>
    </c:title>
    <c:autoTitleDeleted val="0"/>
    <c:plotArea>
      <c:barChart>
        <c:barDir val="bar"/>
        <c:grouping val="clustered"/>
        <c:varyColors val="0"/>
        <c:ser>
          <c:idx val="0"/>
          <c:order val="0"/>
          <c:tx>
            <c:strRef>
              <c:f>Summary!C47</c:f>
              <c:strCache>
                <c:ptCount val="1"/>
                <c:pt idx="0">
                  <c:v>% of answered</c:v>
                </c:pt>
              </c:strCache>
            </c:strRef>
          </c:tx>
          <c:spPr>
            <a:solidFill>
              <a:srgbClr val="2f6ea8"/>
            </a:solidFill>
            <a:ln w="9360">
              <a:solidFill>
                <a:srgbClr val="f9f9f9"/>
              </a:solidFill>
              <a:round/>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Summary!$A$48:$A$52</c:f>
              <c:strCache>
                <c:ptCount val="5"/>
                <c:pt idx="0">
                  <c:v>Never</c:v>
                </c:pt>
                <c:pt idx="1">
                  <c:v>Less than once a month</c:v>
                </c:pt>
                <c:pt idx="2">
                  <c:v>A few times a month</c:v>
                </c:pt>
                <c:pt idx="3">
                  <c:v>A few times a week</c:v>
                </c:pt>
                <c:pt idx="4">
                  <c:v>Daily</c:v>
                </c:pt>
              </c:strCache>
            </c:strRef>
          </c:cat>
          <c:val>
            <c:numRef>
              <c:f>Summary!$C$48:$C$52</c:f>
              <c:numCache>
                <c:formatCode>General</c:formatCode>
                <c:ptCount val="5"/>
              </c:numCache>
            </c:numRef>
          </c:val>
        </c:ser>
        <c:gapWidth val="150"/>
        <c:overlap val="0"/>
        <c:axId val="53490268"/>
        <c:axId val="48186366"/>
      </c:barChart>
      <c:catAx>
        <c:axId val="53490268"/>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8186366"/>
        <c:crosses val="autoZero"/>
        <c:auto val="1"/>
        <c:lblAlgn val="ctr"/>
        <c:lblOffset val="100"/>
        <c:noMultiLvlLbl val="0"/>
      </c:catAx>
      <c:valAx>
        <c:axId val="48186366"/>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49026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Tasks AI is used for</a:t>
            </a:r>
          </a:p>
        </c:rich>
      </c:tx>
      <c:overlay val="0"/>
      <c:spPr>
        <a:noFill/>
        <a:ln w="0">
          <a:noFill/>
        </a:ln>
      </c:spPr>
    </c:title>
    <c:autoTitleDeleted val="0"/>
    <c:plotArea>
      <c:barChart>
        <c:barDir val="bar"/>
        <c:grouping val="clustered"/>
        <c:varyColors val="0"/>
        <c:ser>
          <c:idx val="0"/>
          <c:order val="0"/>
          <c:tx>
            <c:strRef>
              <c:f>Summary!C67</c:f>
              <c:strCache>
                <c:ptCount val="1"/>
                <c:pt idx="0">
                  <c:v>% of answered</c:v>
                </c:pt>
              </c:strCache>
            </c:strRef>
          </c:tx>
          <c:spPr>
            <a:solidFill>
              <a:srgbClr val="2f6ea8"/>
            </a:solidFill>
            <a:ln w="9360">
              <a:solidFill>
                <a:srgbClr val="f9f9f9"/>
              </a:solidFill>
              <a:round/>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Summary!$A$68:$A$74</c:f>
              <c:strCache>
                <c:ptCount val="7"/>
                <c:pt idx="0">
                  <c:v>Writing or editing</c:v>
                </c:pt>
                <c:pt idx="1">
                  <c:v>Research or summarizing</c:v>
                </c:pt>
                <c:pt idx="2">
                  <c:v>Brainstorming ideas</c:v>
                </c:pt>
                <c:pt idx="3">
                  <c:v>Analyzing data or spreadsheets</c:v>
                </c:pt>
                <c:pt idx="4">
                  <c:v>Coding or technical help</c:v>
                </c:pt>
                <c:pt idx="5">
                  <c:v>Translation or language support</c:v>
                </c:pt>
                <c:pt idx="6">
                  <c:v>Scheduling or admin tasks</c:v>
                </c:pt>
              </c:strCache>
            </c:strRef>
          </c:cat>
          <c:val>
            <c:numRef>
              <c:f>Summary!$C$68:$C$74</c:f>
              <c:numCache>
                <c:formatCode>General</c:formatCode>
                <c:ptCount val="7"/>
              </c:numCache>
            </c:numRef>
          </c:val>
        </c:ser>
        <c:gapWidth val="150"/>
        <c:overlap val="0"/>
        <c:axId val="24974436"/>
        <c:axId val="61730664"/>
      </c:barChart>
      <c:catAx>
        <c:axId val="24974436"/>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730664"/>
        <c:crosses val="autoZero"/>
        <c:auto val="1"/>
        <c:lblAlgn val="ctr"/>
        <c:lblOffset val="100"/>
        <c:noMultiLvlLbl val="0"/>
      </c:catAx>
      <c:valAx>
        <c:axId val="61730664"/>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97443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Hours saved per week</a:t>
            </a:r>
          </a:p>
        </c:rich>
      </c:tx>
      <c:overlay val="0"/>
      <c:spPr>
        <a:noFill/>
        <a:ln w="0">
          <a:noFill/>
        </a:ln>
      </c:spPr>
    </c:title>
    <c:autoTitleDeleted val="0"/>
    <c:plotArea>
      <c:barChart>
        <c:barDir val="bar"/>
        <c:grouping val="clustered"/>
        <c:varyColors val="0"/>
        <c:ser>
          <c:idx val="0"/>
          <c:order val="0"/>
          <c:tx>
            <c:strRef>
              <c:f>Summary!C87</c:f>
              <c:strCache>
                <c:ptCount val="1"/>
                <c:pt idx="0">
                  <c:v>% of answered</c:v>
                </c:pt>
              </c:strCache>
            </c:strRef>
          </c:tx>
          <c:spPr>
            <a:solidFill>
              <a:srgbClr val="2f6ea8"/>
            </a:solidFill>
            <a:ln w="9360">
              <a:solidFill>
                <a:srgbClr val="f9f9f9"/>
              </a:solidFill>
              <a:round/>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Summary!$A$88:$A$92</c:f>
              <c:strCache>
                <c:ptCount val="5"/>
                <c:pt idx="0">
                  <c:v>None - no time saved</c:v>
                </c:pt>
                <c:pt idx="1">
                  <c:v>Less than 1 hour</c:v>
                </c:pt>
                <c:pt idx="2">
                  <c:v>1 to 3 hours</c:v>
                </c:pt>
                <c:pt idx="3">
                  <c:v>4 to 6 hours</c:v>
                </c:pt>
                <c:pt idx="4">
                  <c:v>7 or more hours</c:v>
                </c:pt>
              </c:strCache>
            </c:strRef>
          </c:cat>
          <c:val>
            <c:numRef>
              <c:f>Summary!$C$88:$C$92</c:f>
              <c:numCache>
                <c:formatCode>General</c:formatCode>
                <c:ptCount val="5"/>
              </c:numCache>
            </c:numRef>
          </c:val>
        </c:ser>
        <c:gapWidth val="150"/>
        <c:overlap val="0"/>
        <c:axId val="31795920"/>
        <c:axId val="96642875"/>
      </c:barChart>
      <c:catAx>
        <c:axId val="31795920"/>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642875"/>
        <c:crosses val="autoZero"/>
        <c:auto val="1"/>
        <c:lblAlgn val="ctr"/>
        <c:lblOffset val="100"/>
        <c:noMultiLvlLbl val="0"/>
      </c:catAx>
      <c:valAx>
        <c:axId val="96642875"/>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79592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Q6 agreement</a:t>
            </a:r>
          </a:p>
        </c:rich>
      </c:tx>
      <c:overlay val="0"/>
      <c:spPr>
        <a:noFill/>
        <a:ln w="0">
          <a:noFill/>
        </a:ln>
      </c:spPr>
    </c:title>
    <c:autoTitleDeleted val="0"/>
    <c:plotArea>
      <c:barChart>
        <c:barDir val="bar"/>
        <c:grouping val="percentStacked"/>
        <c:varyColors val="0"/>
        <c:ser>
          <c:idx val="0"/>
          <c:order val="0"/>
          <c:tx>
            <c:strRef>
              <c:f>Summary!B112</c:f>
              <c:strCache>
                <c:ptCount val="1"/>
                <c:pt idx="0">
                  <c:v>Strongly disagree</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Summary!$A$113:$A$115</c:f>
              <c:strCache>
                <c:ptCount val="3"/>
                <c:pt idx="0">
                  <c:v>AI tools help me complete tasks faster.</c:v>
                </c:pt>
                <c:pt idx="1">
                  <c:v>AI tools improve the quality of my work.</c:v>
                </c:pt>
                <c:pt idx="2">
                  <c:v>I always check AI-generated output before I use it.</c:v>
                </c:pt>
              </c:strCache>
            </c:strRef>
          </c:cat>
          <c:val>
            <c:numRef>
              <c:f>Summary!$B$113:$B$115</c:f>
              <c:numCache>
                <c:formatCode>General</c:formatCode>
                <c:ptCount val="3"/>
              </c:numCache>
            </c:numRef>
          </c:val>
        </c:ser>
        <c:ser>
          <c:idx val="1"/>
          <c:order val="1"/>
          <c:tx>
            <c:strRef>
              <c:f>Summary!C112</c:f>
              <c:strCache>
                <c:ptCount val="1"/>
                <c:pt idx="0">
                  <c:v>Disagree</c:v>
                </c:pt>
              </c:strCache>
            </c:strRef>
          </c:tx>
          <c:spPr>
            <a:solidFill>
              <a:srgbClr val="e6a5a3"/>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Summary!$A$113:$A$115</c:f>
              <c:strCache>
                <c:ptCount val="3"/>
                <c:pt idx="0">
                  <c:v>AI tools help me complete tasks faster.</c:v>
                </c:pt>
                <c:pt idx="1">
                  <c:v>AI tools improve the quality of my work.</c:v>
                </c:pt>
                <c:pt idx="2">
                  <c:v>I always check AI-generated output before I use it.</c:v>
                </c:pt>
              </c:strCache>
            </c:strRef>
          </c:cat>
          <c:val>
            <c:numRef>
              <c:f>Summary!$C$113:$C$115</c:f>
              <c:numCache>
                <c:formatCode>General</c:formatCode>
                <c:ptCount val="3"/>
              </c:numCache>
            </c:numRef>
          </c:val>
        </c:ser>
        <c:ser>
          <c:idx val="2"/>
          <c:order val="2"/>
          <c:tx>
            <c:strRef>
              <c:f>Summary!D112</c:f>
              <c:strCache>
                <c:ptCount val="1"/>
                <c:pt idx="0">
                  <c:v>Neutral</c:v>
                </c:pt>
              </c:strCache>
            </c:strRef>
          </c:tx>
          <c:spPr>
            <a:solidFill>
              <a:srgbClr val="d9d9d9"/>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Summary!$A$113:$A$115</c:f>
              <c:strCache>
                <c:ptCount val="3"/>
                <c:pt idx="0">
                  <c:v>AI tools help me complete tasks faster.</c:v>
                </c:pt>
                <c:pt idx="1">
                  <c:v>AI tools improve the quality of my work.</c:v>
                </c:pt>
                <c:pt idx="2">
                  <c:v>I always check AI-generated output before I use it.</c:v>
                </c:pt>
              </c:strCache>
            </c:strRef>
          </c:cat>
          <c:val>
            <c:numRef>
              <c:f>Summary!$D$113:$D$115</c:f>
              <c:numCache>
                <c:formatCode>General</c:formatCode>
                <c:ptCount val="3"/>
              </c:numCache>
            </c:numRef>
          </c:val>
        </c:ser>
        <c:ser>
          <c:idx val="3"/>
          <c:order val="3"/>
          <c:tx>
            <c:strRef>
              <c:f>Summary!E112</c:f>
              <c:strCache>
                <c:ptCount val="1"/>
                <c:pt idx="0">
                  <c:v>Agree</c:v>
                </c:pt>
              </c:strCache>
            </c:strRef>
          </c:tx>
          <c:spPr>
            <a:solidFill>
              <a:srgbClr val="8fb4d9"/>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Summary!$A$113:$A$115</c:f>
              <c:strCache>
                <c:ptCount val="3"/>
                <c:pt idx="0">
                  <c:v>AI tools help me complete tasks faster.</c:v>
                </c:pt>
                <c:pt idx="1">
                  <c:v>AI tools improve the quality of my work.</c:v>
                </c:pt>
                <c:pt idx="2">
                  <c:v>I always check AI-generated output before I use it.</c:v>
                </c:pt>
              </c:strCache>
            </c:strRef>
          </c:cat>
          <c:val>
            <c:numRef>
              <c:f>Summary!$E$113:$E$115</c:f>
              <c:numCache>
                <c:formatCode>General</c:formatCode>
                <c:ptCount val="3"/>
              </c:numCache>
            </c:numRef>
          </c:val>
        </c:ser>
        <c:ser>
          <c:idx val="4"/>
          <c:order val="4"/>
          <c:tx>
            <c:strRef>
              <c:f>Summary!F112</c:f>
              <c:strCache>
                <c:ptCount val="1"/>
                <c:pt idx="0">
                  <c:v>Strongly agree</c:v>
                </c:pt>
              </c:strCache>
            </c:strRef>
          </c:tx>
          <c:spPr>
            <a:solidFill>
              <a:srgbClr val="2f6ea8"/>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Summary!$A$113:$A$115</c:f>
              <c:strCache>
                <c:ptCount val="3"/>
                <c:pt idx="0">
                  <c:v>AI tools help me complete tasks faster.</c:v>
                </c:pt>
                <c:pt idx="1">
                  <c:v>AI tools improve the quality of my work.</c:v>
                </c:pt>
                <c:pt idx="2">
                  <c:v>I always check AI-generated output before I use it.</c:v>
                </c:pt>
              </c:strCache>
            </c:strRef>
          </c:cat>
          <c:val>
            <c:numRef>
              <c:f>Summary!$F$113:$F$115</c:f>
              <c:numCache>
                <c:formatCode>General</c:formatCode>
                <c:ptCount val="3"/>
              </c:numCache>
            </c:numRef>
          </c:val>
        </c:ser>
        <c:gapWidth val="150"/>
        <c:overlap val="100"/>
        <c:axId val="75115634"/>
        <c:axId val="54163428"/>
      </c:barChart>
      <c:catAx>
        <c:axId val="75115634"/>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4163428"/>
        <c:crosses val="autoZero"/>
        <c:auto val="1"/>
        <c:lblAlgn val="ctr"/>
        <c:lblOffset val="100"/>
        <c:noMultiLvlLbl val="0"/>
      </c:catAx>
      <c:valAx>
        <c:axId val="54163428"/>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511563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Confidence using AI</a:t>
            </a:r>
          </a:p>
        </c:rich>
      </c:tx>
      <c:overlay val="0"/>
      <c:spPr>
        <a:noFill/>
        <a:ln w="0">
          <a:noFill/>
        </a:ln>
      </c:spPr>
    </c:title>
    <c:autoTitleDeleted val="0"/>
    <c:plotArea>
      <c:barChart>
        <c:barDir val="col"/>
        <c:grouping val="clustered"/>
        <c:varyColors val="0"/>
        <c:ser>
          <c:idx val="0"/>
          <c:order val="0"/>
          <c:tx>
            <c:strRef>
              <c:f>Summary!C142</c:f>
              <c:strCache>
                <c:ptCount val="1"/>
                <c:pt idx="0">
                  <c:v>% of answered</c:v>
                </c:pt>
              </c:strCache>
            </c:strRef>
          </c:tx>
          <c:spPr>
            <a:solidFill>
              <a:srgbClr val="2f6ea8"/>
            </a:solidFill>
            <a:ln w="9360">
              <a:solidFill>
                <a:srgbClr val="f9f9f9"/>
              </a:solidFill>
              <a:round/>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Summary!$A$143:$A$147</c:f>
              <c:strCache>
                <c:ptCount val="5"/>
                <c:pt idx="0">
                  <c:v>1  (Not at all confident)</c:v>
                </c:pt>
                <c:pt idx="1">
                  <c:v>2</c:v>
                </c:pt>
                <c:pt idx="2">
                  <c:v>3</c:v>
                </c:pt>
                <c:pt idx="3">
                  <c:v>4</c:v>
                </c:pt>
                <c:pt idx="4">
                  <c:v>5  (Very confident)</c:v>
                </c:pt>
              </c:strCache>
            </c:strRef>
          </c:cat>
          <c:val>
            <c:numRef>
              <c:f>Summary!$C$143:$C$147</c:f>
              <c:numCache>
                <c:formatCode>General</c:formatCode>
                <c:ptCount val="5"/>
              </c:numCache>
            </c:numRef>
          </c:val>
        </c:ser>
        <c:gapWidth val="150"/>
        <c:overlap val="0"/>
        <c:axId val="85884803"/>
        <c:axId val="90905026"/>
      </c:barChart>
      <c:catAx>
        <c:axId val="8588480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905026"/>
        <c:crosses val="autoZero"/>
        <c:auto val="1"/>
        <c:lblAlgn val="ctr"/>
        <c:lblOffset val="100"/>
        <c:noMultiLvlLbl val="0"/>
      </c:catAx>
      <c:valAx>
        <c:axId val="90905026"/>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88480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Guidance received</a:t>
            </a:r>
          </a:p>
        </c:rich>
      </c:tx>
      <c:overlay val="0"/>
      <c:spPr>
        <a:noFill/>
        <a:ln w="0">
          <a:noFill/>
        </a:ln>
      </c:spPr>
    </c:title>
    <c:autoTitleDeleted val="0"/>
    <c:plotArea>
      <c:barChart>
        <c:barDir val="bar"/>
        <c:grouping val="clustered"/>
        <c:varyColors val="0"/>
        <c:ser>
          <c:idx val="0"/>
          <c:order val="0"/>
          <c:tx>
            <c:strRef>
              <c:f>Summary!C162</c:f>
              <c:strCache>
                <c:ptCount val="1"/>
                <c:pt idx="0">
                  <c:v>% of answered</c:v>
                </c:pt>
              </c:strCache>
            </c:strRef>
          </c:tx>
          <c:spPr>
            <a:solidFill>
              <a:srgbClr val="2f6ea8"/>
            </a:solidFill>
            <a:ln w="9360">
              <a:solidFill>
                <a:srgbClr val="f9f9f9"/>
              </a:solidFill>
              <a:round/>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Summary!$A$163:$A$166</c:f>
              <c:strCache>
                <c:ptCount val="4"/>
                <c:pt idx="0">
                  <c:v>Formal training</c:v>
                </c:pt>
                <c:pt idx="1">
                  <c:v>Written policy or guidelines only</c:v>
                </c:pt>
                <c:pt idx="2">
                  <c:v>Informal advice only</c:v>
                </c:pt>
                <c:pt idx="3">
                  <c:v>No guidance at all</c:v>
                </c:pt>
              </c:strCache>
            </c:strRef>
          </c:cat>
          <c:val>
            <c:numRef>
              <c:f>Summary!$C$163:$C$166</c:f>
              <c:numCache>
                <c:formatCode>General</c:formatCode>
                <c:ptCount val="4"/>
              </c:numCache>
            </c:numRef>
          </c:val>
        </c:ser>
        <c:gapWidth val="150"/>
        <c:overlap val="0"/>
        <c:axId val="36199113"/>
        <c:axId val="14520736"/>
      </c:barChart>
      <c:catAx>
        <c:axId val="36199113"/>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520736"/>
        <c:crosses val="autoZero"/>
        <c:auto val="1"/>
        <c:lblAlgn val="ctr"/>
        <c:lblOffset val="100"/>
        <c:noMultiLvlLbl val="0"/>
      </c:catAx>
      <c:valAx>
        <c:axId val="14520736"/>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619911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Organization's approach</a:t>
            </a:r>
          </a:p>
        </c:rich>
      </c:tx>
      <c:overlay val="0"/>
      <c:spPr>
        <a:noFill/>
        <a:ln w="0">
          <a:noFill/>
        </a:ln>
      </c:spPr>
    </c:title>
    <c:autoTitleDeleted val="0"/>
    <c:plotArea>
      <c:barChart>
        <c:barDir val="bar"/>
        <c:grouping val="clustered"/>
        <c:varyColors val="0"/>
        <c:ser>
          <c:idx val="0"/>
          <c:order val="0"/>
          <c:tx>
            <c:strRef>
              <c:f>Summary!C182</c:f>
              <c:strCache>
                <c:ptCount val="1"/>
                <c:pt idx="0">
                  <c:v>% of answered</c:v>
                </c:pt>
              </c:strCache>
            </c:strRef>
          </c:tx>
          <c:spPr>
            <a:solidFill>
              <a:srgbClr val="2f6ea8"/>
            </a:solidFill>
            <a:ln w="9360">
              <a:solidFill>
                <a:srgbClr val="f9f9f9"/>
              </a:solidFill>
              <a:round/>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Summary!$A$183:$A$187</c:f>
              <c:strCache>
                <c:ptCount val="5"/>
                <c:pt idx="0">
                  <c:v>Encouraged and supported</c:v>
                </c:pt>
                <c:pt idx="1">
                  <c:v>Allowed with rules</c:v>
                </c:pt>
                <c:pt idx="2">
                  <c:v>Discouraged or restricted</c:v>
                </c:pt>
                <c:pt idx="3">
                  <c:v>Banned</c:v>
                </c:pt>
                <c:pt idx="4">
                  <c:v>Not sure or no policy</c:v>
                </c:pt>
              </c:strCache>
            </c:strRef>
          </c:cat>
          <c:val>
            <c:numRef>
              <c:f>Summary!$C$183:$C$187</c:f>
              <c:numCache>
                <c:formatCode>General</c:formatCode>
                <c:ptCount val="5"/>
              </c:numCache>
            </c:numRef>
          </c:val>
        </c:ser>
        <c:gapWidth val="150"/>
        <c:overlap val="0"/>
        <c:axId val="19547572"/>
        <c:axId val="33619627"/>
      </c:barChart>
      <c:catAx>
        <c:axId val="19547572"/>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619627"/>
        <c:crosses val="autoZero"/>
        <c:auto val="1"/>
        <c:lblAlgn val="ctr"/>
        <c:lblOffset val="100"/>
        <c:noMultiLvlLbl val="0"/>
      </c:catAx>
      <c:valAx>
        <c:axId val="33619627"/>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954757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Barriers</a:t>
            </a:r>
          </a:p>
        </c:rich>
      </c:tx>
      <c:overlay val="0"/>
      <c:spPr>
        <a:noFill/>
        <a:ln w="0">
          <a:noFill/>
        </a:ln>
      </c:spPr>
    </c:title>
    <c:autoTitleDeleted val="0"/>
    <c:plotArea>
      <c:barChart>
        <c:barDir val="bar"/>
        <c:grouping val="clustered"/>
        <c:varyColors val="0"/>
        <c:ser>
          <c:idx val="0"/>
          <c:order val="0"/>
          <c:tx>
            <c:strRef>
              <c:f>Summary!C202</c:f>
              <c:strCache>
                <c:ptCount val="1"/>
                <c:pt idx="0">
                  <c:v>% of answered</c:v>
                </c:pt>
              </c:strCache>
            </c:strRef>
          </c:tx>
          <c:spPr>
            <a:solidFill>
              <a:srgbClr val="2f6ea8"/>
            </a:solidFill>
            <a:ln w="9360">
              <a:solidFill>
                <a:srgbClr val="f9f9f9"/>
              </a:solidFill>
              <a:round/>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Summary!$A$203:$A$209</c:f>
              <c:strCache>
                <c:ptCount val="7"/>
                <c:pt idx="0">
                  <c:v>Concerns about accuracy</c:v>
                </c:pt>
                <c:pt idx="1">
                  <c:v>Data privacy or confidentiality concerns</c:v>
                </c:pt>
                <c:pt idx="2">
                  <c:v>Rules or policy restrictions</c:v>
                </c:pt>
                <c:pt idx="3">
                  <c:v>Lack of training or skills</c:v>
                </c:pt>
                <c:pt idx="4">
                  <c:v>Cost of tools</c:v>
                </c:pt>
                <c:pt idx="5">
                  <c:v>Academic or professional integrity concerns</c:v>
                </c:pt>
                <c:pt idx="6">
                  <c:v>I do not see a need</c:v>
                </c:pt>
              </c:strCache>
            </c:strRef>
          </c:cat>
          <c:val>
            <c:numRef>
              <c:f>Summary!$C$203:$C$209</c:f>
              <c:numCache>
                <c:formatCode>General</c:formatCode>
                <c:ptCount val="7"/>
              </c:numCache>
            </c:numRef>
          </c:val>
        </c:ser>
        <c:gapWidth val="150"/>
        <c:overlap val="0"/>
        <c:axId val="96528235"/>
        <c:axId val="70875656"/>
      </c:barChart>
      <c:catAx>
        <c:axId val="96528235"/>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0875656"/>
        <c:crosses val="autoZero"/>
        <c:auto val="1"/>
        <c:lblAlgn val="ctr"/>
        <c:lblOffset val="100"/>
        <c:noMultiLvlLbl val="0"/>
      </c:catAx>
      <c:valAx>
        <c:axId val="70875656"/>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52823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Job-risk concern</a:t>
            </a:r>
          </a:p>
        </c:rich>
      </c:tx>
      <c:overlay val="0"/>
      <c:spPr>
        <a:noFill/>
        <a:ln w="0">
          <a:noFill/>
        </a:ln>
      </c:spPr>
    </c:title>
    <c:autoTitleDeleted val="0"/>
    <c:plotArea>
      <c:barChart>
        <c:barDir val="col"/>
        <c:grouping val="clustered"/>
        <c:varyColors val="0"/>
        <c:ser>
          <c:idx val="0"/>
          <c:order val="0"/>
          <c:tx>
            <c:strRef>
              <c:f>Summary!C222</c:f>
              <c:strCache>
                <c:ptCount val="1"/>
                <c:pt idx="0">
                  <c:v>% of answered</c:v>
                </c:pt>
              </c:strCache>
            </c:strRef>
          </c:tx>
          <c:spPr>
            <a:solidFill>
              <a:srgbClr val="2f6ea8"/>
            </a:solidFill>
            <a:ln w="9360">
              <a:solidFill>
                <a:srgbClr val="f9f9f9"/>
              </a:solidFill>
              <a:round/>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Summary!$A$223:$A$227</c:f>
              <c:strCache>
                <c:ptCount val="5"/>
                <c:pt idx="0">
                  <c:v>1  (Strongly disagree)</c:v>
                </c:pt>
                <c:pt idx="1">
                  <c:v>2</c:v>
                </c:pt>
                <c:pt idx="2">
                  <c:v>3</c:v>
                </c:pt>
                <c:pt idx="3">
                  <c:v>4</c:v>
                </c:pt>
                <c:pt idx="4">
                  <c:v>5  (Strongly agree)</c:v>
                </c:pt>
              </c:strCache>
            </c:strRef>
          </c:cat>
          <c:val>
            <c:numRef>
              <c:f>Summary!$C$223:$C$227</c:f>
              <c:numCache>
                <c:formatCode>General</c:formatCode>
                <c:ptCount val="5"/>
              </c:numCache>
            </c:numRef>
          </c:val>
        </c:ser>
        <c:gapWidth val="150"/>
        <c:overlap val="0"/>
        <c:axId val="79880979"/>
        <c:axId val="50994312"/>
      </c:barChart>
      <c:catAx>
        <c:axId val="7988097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994312"/>
        <c:crosses val="autoZero"/>
        <c:auto val="1"/>
        <c:lblAlgn val="ctr"/>
        <c:lblOffset val="100"/>
        <c:noMultiLvlLbl val="0"/>
      </c:catAx>
      <c:valAx>
        <c:axId val="50994312"/>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88097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Investment priority</a:t>
            </a:r>
          </a:p>
        </c:rich>
      </c:tx>
      <c:overlay val="0"/>
      <c:spPr>
        <a:noFill/>
        <a:ln w="0">
          <a:noFill/>
        </a:ln>
      </c:spPr>
    </c:title>
    <c:autoTitleDeleted val="0"/>
    <c:plotArea>
      <c:barChart>
        <c:barDir val="bar"/>
        <c:grouping val="clustered"/>
        <c:varyColors val="0"/>
        <c:ser>
          <c:idx val="0"/>
          <c:order val="0"/>
          <c:tx>
            <c:strRef>
              <c:f>Summary!C242</c:f>
              <c:strCache>
                <c:ptCount val="1"/>
                <c:pt idx="0">
                  <c:v>% of answered</c:v>
                </c:pt>
              </c:strCache>
            </c:strRef>
          </c:tx>
          <c:spPr>
            <a:solidFill>
              <a:srgbClr val="2f6ea8"/>
            </a:solidFill>
            <a:ln w="9360">
              <a:solidFill>
                <a:srgbClr val="f9f9f9"/>
              </a:solidFill>
              <a:round/>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Summary!$A$243:$A$247</c:f>
              <c:strCache>
                <c:ptCount val="5"/>
                <c:pt idx="0">
                  <c:v>Approved and secure AI tools</c:v>
                </c:pt>
                <c:pt idx="1">
                  <c:v>Training workshops</c:v>
                </c:pt>
                <c:pt idx="2">
                  <c:v>Clear policy and guidelines</c:v>
                </c:pt>
                <c:pt idx="3">
                  <c:v>Time to experiment with tools</c:v>
                </c:pt>
                <c:pt idx="4">
                  <c:v>None of these - no investment needed</c:v>
                </c:pt>
              </c:strCache>
            </c:strRef>
          </c:cat>
          <c:val>
            <c:numRef>
              <c:f>Summary!$C$243:$C$247</c:f>
              <c:numCache>
                <c:formatCode>General</c:formatCode>
                <c:ptCount val="5"/>
              </c:numCache>
            </c:numRef>
          </c:val>
        </c:ser>
        <c:gapWidth val="150"/>
        <c:overlap val="0"/>
        <c:axId val="42255233"/>
        <c:axId val="65200968"/>
      </c:barChart>
      <c:catAx>
        <c:axId val="42255233"/>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200968"/>
        <c:crosses val="autoZero"/>
        <c:auto val="1"/>
        <c:lblAlgn val="ctr"/>
        <c:lblOffset val="100"/>
        <c:noMultiLvlLbl val="0"/>
      </c:catAx>
      <c:valAx>
        <c:axId val="65200968"/>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25523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Use in next 12 months</a:t>
            </a:r>
          </a:p>
        </c:rich>
      </c:tx>
      <c:overlay val="0"/>
      <c:spPr>
        <a:noFill/>
        <a:ln w="0">
          <a:noFill/>
        </a:ln>
      </c:spPr>
    </c:title>
    <c:autoTitleDeleted val="0"/>
    <c:plotArea>
      <c:barChart>
        <c:barDir val="bar"/>
        <c:grouping val="clustered"/>
        <c:varyColors val="0"/>
        <c:ser>
          <c:idx val="0"/>
          <c:order val="0"/>
          <c:tx>
            <c:strRef>
              <c:f>Summary!C262</c:f>
              <c:strCache>
                <c:ptCount val="1"/>
                <c:pt idx="0">
                  <c:v>% of answered</c:v>
                </c:pt>
              </c:strCache>
            </c:strRef>
          </c:tx>
          <c:spPr>
            <a:solidFill>
              <a:srgbClr val="2f6ea8"/>
            </a:solidFill>
            <a:ln w="9360">
              <a:solidFill>
                <a:srgbClr val="f9f9f9"/>
              </a:solidFill>
              <a:round/>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Summary!$A$263:$A$267</c:f>
              <c:strCache>
                <c:ptCount val="5"/>
                <c:pt idx="0">
                  <c:v>Increase a lot</c:v>
                </c:pt>
                <c:pt idx="1">
                  <c:v>Increase a little</c:v>
                </c:pt>
                <c:pt idx="2">
                  <c:v>Stay about the same</c:v>
                </c:pt>
                <c:pt idx="3">
                  <c:v>Decrease</c:v>
                </c:pt>
                <c:pt idx="4">
                  <c:v>I do not expect to use AI tools</c:v>
                </c:pt>
              </c:strCache>
            </c:strRef>
          </c:cat>
          <c:val>
            <c:numRef>
              <c:f>Summary!$C$263:$C$267</c:f>
              <c:numCache>
                <c:formatCode>General</c:formatCode>
                <c:ptCount val="5"/>
              </c:numCache>
            </c:numRef>
          </c:val>
        </c:ser>
        <c:gapWidth val="150"/>
        <c:overlap val="0"/>
        <c:axId val="62319306"/>
        <c:axId val="87687813"/>
      </c:barChart>
      <c:catAx>
        <c:axId val="62319306"/>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687813"/>
        <c:crosses val="autoZero"/>
        <c:auto val="1"/>
        <c:lblAlgn val="ctr"/>
        <c:lblOffset val="100"/>
        <c:noMultiLvlLbl val="0"/>
      </c:catAx>
      <c:valAx>
        <c:axId val="87687813"/>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31930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5</xdr:row>
      <xdr:rowOff>130680</xdr:rowOff>
    </xdr:from>
    <xdr:to>
      <xdr:col>9</xdr:col>
      <xdr:colOff>582840</xdr:colOff>
      <xdr:row>18</xdr:row>
      <xdr:rowOff>133560</xdr:rowOff>
    </xdr:to>
    <xdr:graphicFrame>
      <xdr:nvGraphicFramePr>
        <xdr:cNvPr id="0" name="Chart 1"/>
        <xdr:cNvGraphicFramePr/>
      </xdr:nvGraphicFramePr>
      <xdr:xfrm>
        <a:off x="5991120" y="1352520"/>
        <a:ext cx="4859640" cy="259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25</xdr:row>
      <xdr:rowOff>18360</xdr:rowOff>
    </xdr:from>
    <xdr:to>
      <xdr:col>9</xdr:col>
      <xdr:colOff>582840</xdr:colOff>
      <xdr:row>38</xdr:row>
      <xdr:rowOff>21240</xdr:rowOff>
    </xdr:to>
    <xdr:graphicFrame>
      <xdr:nvGraphicFramePr>
        <xdr:cNvPr id="1" name="Chart 2"/>
        <xdr:cNvGraphicFramePr/>
      </xdr:nvGraphicFramePr>
      <xdr:xfrm>
        <a:off x="5991120" y="5791320"/>
        <a:ext cx="4859640" cy="2591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0</xdr:colOff>
      <xdr:row>44</xdr:row>
      <xdr:rowOff>306000</xdr:rowOff>
    </xdr:from>
    <xdr:to>
      <xdr:col>9</xdr:col>
      <xdr:colOff>582840</xdr:colOff>
      <xdr:row>57</xdr:row>
      <xdr:rowOff>99000</xdr:rowOff>
    </xdr:to>
    <xdr:graphicFrame>
      <xdr:nvGraphicFramePr>
        <xdr:cNvPr id="2" name="Chart 3"/>
        <xdr:cNvGraphicFramePr/>
      </xdr:nvGraphicFramePr>
      <xdr:xfrm>
        <a:off x="5991120" y="10229760"/>
        <a:ext cx="4859640" cy="2591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0</xdr:colOff>
      <xdr:row>64</xdr:row>
      <xdr:rowOff>193680</xdr:rowOff>
    </xdr:from>
    <xdr:to>
      <xdr:col>9</xdr:col>
      <xdr:colOff>582840</xdr:colOff>
      <xdr:row>76</xdr:row>
      <xdr:rowOff>177480</xdr:rowOff>
    </xdr:to>
    <xdr:graphicFrame>
      <xdr:nvGraphicFramePr>
        <xdr:cNvPr id="3" name="Chart 4"/>
        <xdr:cNvGraphicFramePr/>
      </xdr:nvGraphicFramePr>
      <xdr:xfrm>
        <a:off x="5991120" y="14668560"/>
        <a:ext cx="4859640" cy="2591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0</xdr:colOff>
      <xdr:row>84</xdr:row>
      <xdr:rowOff>81000</xdr:rowOff>
    </xdr:from>
    <xdr:to>
      <xdr:col>9</xdr:col>
      <xdr:colOff>582840</xdr:colOff>
      <xdr:row>96</xdr:row>
      <xdr:rowOff>64800</xdr:rowOff>
    </xdr:to>
    <xdr:graphicFrame>
      <xdr:nvGraphicFramePr>
        <xdr:cNvPr id="4" name="Chart 5"/>
        <xdr:cNvGraphicFramePr/>
      </xdr:nvGraphicFramePr>
      <xdr:xfrm>
        <a:off x="5991120" y="19107000"/>
        <a:ext cx="4859640" cy="2591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116</xdr:row>
      <xdr:rowOff>140400</xdr:rowOff>
    </xdr:from>
    <xdr:to>
      <xdr:col>4</xdr:col>
      <xdr:colOff>488520</xdr:colOff>
      <xdr:row>131</xdr:row>
      <xdr:rowOff>18360</xdr:rowOff>
    </xdr:to>
    <xdr:graphicFrame>
      <xdr:nvGraphicFramePr>
        <xdr:cNvPr id="5" name="Chart 6"/>
        <xdr:cNvGraphicFramePr/>
      </xdr:nvGraphicFramePr>
      <xdr:xfrm>
        <a:off x="0" y="27603360"/>
        <a:ext cx="6479640" cy="2735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0</xdr:colOff>
      <xdr:row>138</xdr:row>
      <xdr:rowOff>159480</xdr:rowOff>
    </xdr:from>
    <xdr:to>
      <xdr:col>9</xdr:col>
      <xdr:colOff>582840</xdr:colOff>
      <xdr:row>150</xdr:row>
      <xdr:rowOff>142920</xdr:rowOff>
    </xdr:to>
    <xdr:graphicFrame>
      <xdr:nvGraphicFramePr>
        <xdr:cNvPr id="6" name="Chart 7"/>
        <xdr:cNvGraphicFramePr/>
      </xdr:nvGraphicFramePr>
      <xdr:xfrm>
        <a:off x="5991120" y="32232600"/>
        <a:ext cx="4859640" cy="2591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0</xdr:colOff>
      <xdr:row>158</xdr:row>
      <xdr:rowOff>47160</xdr:rowOff>
    </xdr:from>
    <xdr:to>
      <xdr:col>9</xdr:col>
      <xdr:colOff>582840</xdr:colOff>
      <xdr:row>170</xdr:row>
      <xdr:rowOff>30960</xdr:rowOff>
    </xdr:to>
    <xdr:graphicFrame>
      <xdr:nvGraphicFramePr>
        <xdr:cNvPr id="7" name="Chart 8"/>
        <xdr:cNvGraphicFramePr/>
      </xdr:nvGraphicFramePr>
      <xdr:xfrm>
        <a:off x="5991120" y="36671400"/>
        <a:ext cx="4859640" cy="25916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xdr:col>
      <xdr:colOff>0</xdr:colOff>
      <xdr:row>177</xdr:row>
      <xdr:rowOff>543960</xdr:rowOff>
    </xdr:from>
    <xdr:to>
      <xdr:col>9</xdr:col>
      <xdr:colOff>582840</xdr:colOff>
      <xdr:row>189</xdr:row>
      <xdr:rowOff>108720</xdr:rowOff>
    </xdr:to>
    <xdr:graphicFrame>
      <xdr:nvGraphicFramePr>
        <xdr:cNvPr id="8" name="Chart 9"/>
        <xdr:cNvGraphicFramePr/>
      </xdr:nvGraphicFramePr>
      <xdr:xfrm>
        <a:off x="5991120" y="41109840"/>
        <a:ext cx="4859640" cy="25916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0</xdr:colOff>
      <xdr:row>197</xdr:row>
      <xdr:rowOff>432000</xdr:rowOff>
    </xdr:from>
    <xdr:to>
      <xdr:col>9</xdr:col>
      <xdr:colOff>582840</xdr:colOff>
      <xdr:row>208</xdr:row>
      <xdr:rowOff>186840</xdr:rowOff>
    </xdr:to>
    <xdr:graphicFrame>
      <xdr:nvGraphicFramePr>
        <xdr:cNvPr id="9" name="Chart 10"/>
        <xdr:cNvGraphicFramePr/>
      </xdr:nvGraphicFramePr>
      <xdr:xfrm>
        <a:off x="5991120" y="45548640"/>
        <a:ext cx="4859640" cy="25916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4</xdr:col>
      <xdr:colOff>0</xdr:colOff>
      <xdr:row>217</xdr:row>
      <xdr:rowOff>319320</xdr:rowOff>
    </xdr:from>
    <xdr:to>
      <xdr:col>9</xdr:col>
      <xdr:colOff>582840</xdr:colOff>
      <xdr:row>228</xdr:row>
      <xdr:rowOff>74520</xdr:rowOff>
    </xdr:to>
    <xdr:graphicFrame>
      <xdr:nvGraphicFramePr>
        <xdr:cNvPr id="10" name="Chart 11"/>
        <xdr:cNvGraphicFramePr/>
      </xdr:nvGraphicFramePr>
      <xdr:xfrm>
        <a:off x="5991120" y="49987080"/>
        <a:ext cx="4859640" cy="25916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xdr:col>
      <xdr:colOff>0</xdr:colOff>
      <xdr:row>237</xdr:row>
      <xdr:rowOff>207000</xdr:rowOff>
    </xdr:from>
    <xdr:to>
      <xdr:col>9</xdr:col>
      <xdr:colOff>582840</xdr:colOff>
      <xdr:row>247</xdr:row>
      <xdr:rowOff>152640</xdr:rowOff>
    </xdr:to>
    <xdr:graphicFrame>
      <xdr:nvGraphicFramePr>
        <xdr:cNvPr id="11" name="Chart 12"/>
        <xdr:cNvGraphicFramePr/>
      </xdr:nvGraphicFramePr>
      <xdr:xfrm>
        <a:off x="5991120" y="54425880"/>
        <a:ext cx="4859640" cy="25916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4</xdr:col>
      <xdr:colOff>0</xdr:colOff>
      <xdr:row>257</xdr:row>
      <xdr:rowOff>94680</xdr:rowOff>
    </xdr:from>
    <xdr:to>
      <xdr:col>9</xdr:col>
      <xdr:colOff>582840</xdr:colOff>
      <xdr:row>267</xdr:row>
      <xdr:rowOff>40320</xdr:rowOff>
    </xdr:to>
    <xdr:graphicFrame>
      <xdr:nvGraphicFramePr>
        <xdr:cNvPr id="12" name="Chart 13"/>
        <xdr:cNvGraphicFramePr/>
      </xdr:nvGraphicFramePr>
      <xdr:xfrm>
        <a:off x="5991120" y="58864680"/>
        <a:ext cx="4859640" cy="259164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D5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3" min="3" style="0" width="26"/>
    <col collapsed="false" customWidth="true" hidden="false" outlineLevel="0" max="4" min="4" style="0" width="70"/>
  </cols>
  <sheetData>
    <row r="1" customFormat="false" ht="19.7" hidden="false" customHeight="false" outlineLevel="0" collapsed="false">
      <c r="B1" s="1" t="s">
        <v>0</v>
      </c>
    </row>
    <row r="2" customFormat="false" ht="15" hidden="false" customHeight="false" outlineLevel="0" collapsed="false">
      <c r="B2" s="2" t="s">
        <v>1</v>
      </c>
    </row>
    <row r="4" customFormat="false" ht="15" hidden="false" customHeight="false" outlineLevel="0" collapsed="false">
      <c r="B4" s="3" t="s">
        <v>2</v>
      </c>
      <c r="C4" s="4"/>
      <c r="D4" s="4"/>
    </row>
    <row r="5" customFormat="false" ht="30" hidden="false" customHeight="true" outlineLevel="0" collapsed="false">
      <c r="B5" s="5" t="s">
        <v>3</v>
      </c>
      <c r="C5" s="5"/>
      <c r="D5" s="5"/>
    </row>
    <row r="6" customFormat="false" ht="30" hidden="false" customHeight="true" outlineLevel="0" collapsed="false">
      <c r="B6" s="5" t="s">
        <v>4</v>
      </c>
      <c r="C6" s="5"/>
      <c r="D6" s="5"/>
    </row>
    <row r="7" customFormat="false" ht="43.5" hidden="false" customHeight="true" outlineLevel="0" collapsed="false">
      <c r="B7" s="5" t="s">
        <v>5</v>
      </c>
      <c r="C7" s="5"/>
      <c r="D7" s="5"/>
    </row>
    <row r="8" customFormat="false" ht="30" hidden="false" customHeight="true" outlineLevel="0" collapsed="false">
      <c r="B8" s="5" t="s">
        <v>6</v>
      </c>
      <c r="C8" s="5"/>
      <c r="D8" s="5"/>
    </row>
    <row r="9" customFormat="false" ht="30" hidden="false" customHeight="true" outlineLevel="0" collapsed="false">
      <c r="B9" s="5" t="s">
        <v>7</v>
      </c>
      <c r="C9" s="5"/>
      <c r="D9" s="5"/>
    </row>
    <row r="10" customFormat="false" ht="30" hidden="false" customHeight="true" outlineLevel="0" collapsed="false">
      <c r="B10" s="5" t="s">
        <v>8</v>
      </c>
      <c r="C10" s="5"/>
      <c r="D10" s="5"/>
    </row>
    <row r="12" customFormat="false" ht="15" hidden="false" customHeight="false" outlineLevel="0" collapsed="false">
      <c r="B12" s="3" t="s">
        <v>9</v>
      </c>
      <c r="C12" s="4"/>
      <c r="D12" s="4"/>
    </row>
    <row r="13" customFormat="false" ht="15" hidden="false" customHeight="false" outlineLevel="0" collapsed="false">
      <c r="B13" s="6" t="s">
        <v>10</v>
      </c>
      <c r="C13" s="7" t="n">
        <v>30</v>
      </c>
      <c r="D13" s="8" t="s">
        <v>11</v>
      </c>
    </row>
    <row r="14" customFormat="false" ht="15" hidden="false" customHeight="false" outlineLevel="0" collapsed="false">
      <c r="B14" s="6" t="s">
        <v>12</v>
      </c>
      <c r="C14" s="9"/>
      <c r="D14" s="8" t="s">
        <v>13</v>
      </c>
    </row>
    <row r="15" customFormat="false" ht="23.85" hidden="false" customHeight="false" outlineLevel="0" collapsed="false">
      <c r="B15" s="6" t="s">
        <v>14</v>
      </c>
      <c r="C15" s="9" t="n">
        <v>5</v>
      </c>
      <c r="D15" s="8" t="s">
        <v>15</v>
      </c>
    </row>
    <row r="16" customFormat="false" ht="15" hidden="false" customHeight="false" outlineLevel="0" collapsed="false">
      <c r="B16" s="6" t="s">
        <v>16</v>
      </c>
      <c r="C16" s="10" t="n">
        <v>0.2</v>
      </c>
      <c r="D16" s="8" t="s">
        <v>17</v>
      </c>
    </row>
    <row r="18" customFormat="false" ht="15" hidden="false" customHeight="false" outlineLevel="0" collapsed="false">
      <c r="B18" s="3" t="s">
        <v>18</v>
      </c>
      <c r="C18" s="4"/>
      <c r="D18" s="4"/>
    </row>
    <row r="19" customFormat="false" ht="15" hidden="false" customHeight="false" outlineLevel="0" collapsed="false">
      <c r="B19" s="6" t="s">
        <v>19</v>
      </c>
      <c r="C19" s="11" t="n">
        <f aca="false">COUNTA(Responses!$A$2:$A$1000)</f>
        <v>0</v>
      </c>
    </row>
    <row r="20" customFormat="false" ht="15" hidden="false" customHeight="false" outlineLevel="0" collapsed="false">
      <c r="B20" s="6" t="s">
        <v>20</v>
      </c>
      <c r="C20" s="12" t="str">
        <f aca="false">IF(C19&gt;=Start_Here!$C$13,"Yes: " &amp; C19 &amp; " responses","Not yet: need " &amp; (Start_Here!$C$13-C19) &amp; " more")</f>
        <v>Not yet: need 30 more</v>
      </c>
    </row>
    <row r="21" customFormat="false" ht="15" hidden="false" customHeight="false" outlineLevel="0" collapsed="false">
      <c r="B21" s="6" t="s">
        <v>21</v>
      </c>
      <c r="C21" s="13" t="str">
        <f aca="false">IF(N(Start_Here!$C$14)&gt;0,C19/Start_Here!$C$14,"Enter people invited above")</f>
        <v>Enter people invited above</v>
      </c>
    </row>
    <row r="22" customFormat="false" ht="15" hidden="false" customHeight="false" outlineLevel="0" collapsed="false">
      <c r="B22" s="6" t="s">
        <v>22</v>
      </c>
      <c r="C22" s="11" t="n">
        <f aca="false">COUNTIFS(Responses!$D$2:$D$1000,"&lt;&gt;Never",Responses!$D$2:$D$1000,"&lt;&gt;")</f>
        <v>0</v>
      </c>
    </row>
    <row r="23" customFormat="false" ht="15" hidden="false" customHeight="false" outlineLevel="0" collapsed="false">
      <c r="B23" s="6" t="s">
        <v>23</v>
      </c>
      <c r="C23" s="13" t="str">
        <f aca="false">IF(C19=0,"",C22/C19)</f>
        <v/>
      </c>
    </row>
    <row r="25" customFormat="false" ht="15" hidden="false" customHeight="false" outlineLevel="0" collapsed="false">
      <c r="B25" s="3" t="s">
        <v>24</v>
      </c>
      <c r="C25" s="4"/>
      <c r="D25" s="4"/>
    </row>
    <row r="26" customFormat="false" ht="43.5" hidden="false" customHeight="true" outlineLevel="0" collapsed="false">
      <c r="B26" s="5" t="s">
        <v>25</v>
      </c>
      <c r="C26" s="5"/>
      <c r="D26" s="5"/>
    </row>
    <row r="28" customFormat="false" ht="15" hidden="false" customHeight="false" outlineLevel="0" collapsed="false">
      <c r="B28" s="3" t="s">
        <v>26</v>
      </c>
      <c r="C28" s="4"/>
      <c r="D28" s="4"/>
    </row>
    <row r="29" customFormat="false" ht="15" hidden="false" customHeight="false" outlineLevel="0" collapsed="false">
      <c r="B29" s="14" t="s">
        <v>27</v>
      </c>
      <c r="C29" s="14" t="s">
        <v>28</v>
      </c>
      <c r="D29" s="14" t="s">
        <v>29</v>
      </c>
    </row>
    <row r="30" customFormat="false" ht="15" hidden="false" customHeight="false" outlineLevel="0" collapsed="false">
      <c r="B30" s="15" t="s">
        <v>30</v>
      </c>
      <c r="C30" s="16" t="s">
        <v>31</v>
      </c>
      <c r="D30" s="8" t="s">
        <v>32</v>
      </c>
    </row>
    <row r="31" customFormat="false" ht="15" hidden="false" customHeight="false" outlineLevel="0" collapsed="false">
      <c r="B31" s="15" t="s">
        <v>33</v>
      </c>
      <c r="C31" s="16" t="s">
        <v>34</v>
      </c>
      <c r="D31" s="8" t="s">
        <v>35</v>
      </c>
    </row>
    <row r="32" customFormat="false" ht="23.85" hidden="false" customHeight="false" outlineLevel="0" collapsed="false">
      <c r="B32" s="15" t="s">
        <v>36</v>
      </c>
      <c r="C32" s="16" t="s">
        <v>37</v>
      </c>
      <c r="D32" s="8" t="s">
        <v>35</v>
      </c>
    </row>
    <row r="33" customFormat="false" ht="15" hidden="false" customHeight="false" outlineLevel="0" collapsed="false">
      <c r="B33" s="15" t="s">
        <v>38</v>
      </c>
      <c r="C33" s="16" t="s">
        <v>39</v>
      </c>
      <c r="D33" s="8" t="s">
        <v>35</v>
      </c>
    </row>
    <row r="34" customFormat="false" ht="23.85" hidden="false" customHeight="false" outlineLevel="0" collapsed="false">
      <c r="B34" s="15" t="s">
        <v>40</v>
      </c>
      <c r="C34" s="16" t="s">
        <v>41</v>
      </c>
      <c r="D34" s="8" t="s">
        <v>42</v>
      </c>
    </row>
    <row r="35" customFormat="false" ht="15" hidden="false" customHeight="false" outlineLevel="0" collapsed="false">
      <c r="B35" s="15" t="s">
        <v>43</v>
      </c>
      <c r="C35" s="16" t="s">
        <v>44</v>
      </c>
      <c r="D35" s="8" t="s">
        <v>35</v>
      </c>
    </row>
    <row r="36" customFormat="false" ht="15" hidden="false" customHeight="false" outlineLevel="0" collapsed="false">
      <c r="B36" s="15" t="s">
        <v>45</v>
      </c>
      <c r="C36" s="16" t="s">
        <v>46</v>
      </c>
      <c r="D36" s="8" t="s">
        <v>47</v>
      </c>
    </row>
    <row r="37" customFormat="false" ht="15" hidden="false" customHeight="false" outlineLevel="0" collapsed="false">
      <c r="B37" s="15" t="s">
        <v>48</v>
      </c>
      <c r="C37" s="16" t="s">
        <v>46</v>
      </c>
      <c r="D37" s="8" t="s">
        <v>47</v>
      </c>
    </row>
    <row r="38" customFormat="false" ht="15" hidden="false" customHeight="false" outlineLevel="0" collapsed="false">
      <c r="B38" s="15" t="s">
        <v>49</v>
      </c>
      <c r="C38" s="16" t="s">
        <v>46</v>
      </c>
      <c r="D38" s="8" t="s">
        <v>47</v>
      </c>
    </row>
    <row r="39" customFormat="false" ht="15" hidden="false" customHeight="false" outlineLevel="0" collapsed="false">
      <c r="B39" s="15" t="s">
        <v>50</v>
      </c>
      <c r="C39" s="16" t="s">
        <v>51</v>
      </c>
      <c r="D39" s="8" t="s">
        <v>52</v>
      </c>
    </row>
    <row r="40" customFormat="false" ht="15" hidden="false" customHeight="false" outlineLevel="0" collapsed="false">
      <c r="B40" s="15" t="s">
        <v>53</v>
      </c>
      <c r="C40" s="16" t="s">
        <v>54</v>
      </c>
      <c r="D40" s="8" t="s">
        <v>35</v>
      </c>
    </row>
    <row r="41" customFormat="false" ht="15" hidden="false" customHeight="false" outlineLevel="0" collapsed="false">
      <c r="B41" s="15" t="s">
        <v>55</v>
      </c>
      <c r="C41" s="16" t="s">
        <v>56</v>
      </c>
      <c r="D41" s="8" t="s">
        <v>35</v>
      </c>
    </row>
    <row r="42" customFormat="false" ht="23.85" hidden="false" customHeight="false" outlineLevel="0" collapsed="false">
      <c r="B42" s="15" t="s">
        <v>57</v>
      </c>
      <c r="C42" s="16" t="s">
        <v>58</v>
      </c>
      <c r="D42" s="8" t="s">
        <v>35</v>
      </c>
    </row>
    <row r="43" customFormat="false" ht="15" hidden="false" customHeight="false" outlineLevel="0" collapsed="false">
      <c r="B43" s="15" t="s">
        <v>59</v>
      </c>
      <c r="C43" s="16" t="s">
        <v>60</v>
      </c>
      <c r="D43" s="8" t="s">
        <v>52</v>
      </c>
    </row>
    <row r="44" customFormat="false" ht="15" hidden="false" customHeight="false" outlineLevel="0" collapsed="false">
      <c r="B44" s="15" t="s">
        <v>61</v>
      </c>
      <c r="C44" s="16" t="s">
        <v>62</v>
      </c>
      <c r="D44" s="8" t="s">
        <v>35</v>
      </c>
    </row>
    <row r="45" customFormat="false" ht="15" hidden="false" customHeight="false" outlineLevel="0" collapsed="false">
      <c r="B45" s="15" t="s">
        <v>63</v>
      </c>
      <c r="C45" s="16" t="s">
        <v>64</v>
      </c>
      <c r="D45" s="8" t="s">
        <v>35</v>
      </c>
    </row>
    <row r="46" customFormat="false" ht="15" hidden="false" customHeight="false" outlineLevel="0" collapsed="false">
      <c r="B46" s="15" t="s">
        <v>65</v>
      </c>
      <c r="C46" s="16" t="s">
        <v>66</v>
      </c>
      <c r="D46" s="8" t="s">
        <v>67</v>
      </c>
    </row>
    <row r="48" customFormat="false" ht="15" hidden="false" customHeight="false" outlineLevel="0" collapsed="false">
      <c r="B48" s="3" t="s">
        <v>68</v>
      </c>
      <c r="C48" s="4"/>
      <c r="D48" s="4"/>
    </row>
    <row r="49" customFormat="false" ht="43.5" hidden="false" customHeight="true" outlineLevel="0" collapsed="false">
      <c r="B49" s="5" t="s">
        <v>69</v>
      </c>
      <c r="C49" s="5"/>
      <c r="D49" s="5"/>
    </row>
    <row r="50" customFormat="false" ht="30" hidden="false" customHeight="true" outlineLevel="0" collapsed="false">
      <c r="B50" s="5" t="s">
        <v>70</v>
      </c>
      <c r="C50" s="5"/>
      <c r="D50" s="5"/>
    </row>
    <row r="51" customFormat="false" ht="30" hidden="false" customHeight="true" outlineLevel="0" collapsed="false">
      <c r="B51" s="5" t="s">
        <v>71</v>
      </c>
      <c r="C51" s="5"/>
      <c r="D51" s="5"/>
    </row>
    <row r="52" customFormat="false" ht="30" hidden="false" customHeight="true" outlineLevel="0" collapsed="false">
      <c r="B52" s="5" t="s">
        <v>72</v>
      </c>
      <c r="C52" s="5"/>
      <c r="D52" s="5"/>
    </row>
    <row r="53" customFormat="false" ht="30" hidden="false" customHeight="true" outlineLevel="0" collapsed="false">
      <c r="B53" s="5" t="s">
        <v>73</v>
      </c>
      <c r="C53" s="5"/>
      <c r="D53" s="5"/>
    </row>
    <row r="54" customFormat="false" ht="30" hidden="false" customHeight="true" outlineLevel="0" collapsed="false">
      <c r="B54" s="5" t="s">
        <v>74</v>
      </c>
      <c r="C54" s="5"/>
      <c r="D54" s="5"/>
    </row>
    <row r="56" customFormat="false" ht="15" hidden="false" customHeight="false" outlineLevel="0" collapsed="false">
      <c r="B56" s="17" t="s">
        <v>75</v>
      </c>
      <c r="C56" s="18" t="s">
        <v>76</v>
      </c>
      <c r="D56" s="19" t="s">
        <v>77</v>
      </c>
    </row>
  </sheetData>
  <mergeCells count="13">
    <mergeCell ref="B5:D5"/>
    <mergeCell ref="B6:D6"/>
    <mergeCell ref="B7:D7"/>
    <mergeCell ref="B8:D8"/>
    <mergeCell ref="B9:D9"/>
    <mergeCell ref="B10:D10"/>
    <mergeCell ref="B26:D26"/>
    <mergeCell ref="B49:D49"/>
    <mergeCell ref="B50:D50"/>
    <mergeCell ref="B51:D51"/>
    <mergeCell ref="B52:D52"/>
    <mergeCell ref="B53:D53"/>
    <mergeCell ref="B54:D54"/>
  </mergeCells>
  <conditionalFormatting sqref="C20">
    <cfRule type="expression" priority="2" aboveAverage="0" equalAverage="0" bottom="0" percent="0" rank="0" text="" dxfId="0">
      <formula>LEFT(C20,3)="Yes"</formula>
    </cfRule>
    <cfRule type="expression" priority="3" aboveAverage="0" equalAverage="0" bottom="0" percent="0" rank="0" text="" dxfId="1">
      <formula>LEFT(C20,3)="Not"</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17" min="2" style="0" width="22"/>
  </cols>
  <sheetData>
    <row r="1" customFormat="false" ht="96" hidden="false" customHeight="true" outlineLevel="0" collapsed="false">
      <c r="A1" s="20" t="s">
        <v>30</v>
      </c>
      <c r="B1" s="20" t="s">
        <v>78</v>
      </c>
      <c r="C1" s="20" t="s">
        <v>79</v>
      </c>
      <c r="D1" s="20" t="s">
        <v>80</v>
      </c>
      <c r="E1" s="20" t="s">
        <v>81</v>
      </c>
      <c r="F1" s="20" t="s">
        <v>82</v>
      </c>
      <c r="G1" s="20" t="s">
        <v>83</v>
      </c>
      <c r="H1" s="20" t="s">
        <v>84</v>
      </c>
      <c r="I1" s="20" t="s">
        <v>85</v>
      </c>
      <c r="J1" s="20" t="s">
        <v>86</v>
      </c>
      <c r="K1" s="20" t="s">
        <v>87</v>
      </c>
      <c r="L1" s="20" t="s">
        <v>88</v>
      </c>
      <c r="M1" s="20" t="s">
        <v>89</v>
      </c>
      <c r="N1" s="20" t="s">
        <v>90</v>
      </c>
      <c r="O1" s="20" t="s">
        <v>91</v>
      </c>
      <c r="P1" s="20" t="s">
        <v>92</v>
      </c>
      <c r="Q1" s="20" t="s">
        <v>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8" min="2" style="0" width="13"/>
  </cols>
  <sheetData>
    <row r="1" customFormat="false" ht="19.7" hidden="false" customHeight="false" outlineLevel="0" collapsed="false">
      <c r="A1" s="1" t="s">
        <v>94</v>
      </c>
    </row>
    <row r="2" customFormat="false" ht="15" hidden="false" customHeight="false" outlineLevel="0" collapsed="false">
      <c r="A2" s="2" t="s">
        <v>95</v>
      </c>
    </row>
    <row r="3" customFormat="false" ht="15" hidden="false" customHeight="false" outlineLevel="0" collapsed="false">
      <c r="A3" s="17" t="s">
        <v>96</v>
      </c>
      <c r="B3" s="21" t="n">
        <f aca="false">Start_Here!$C$19</f>
        <v>0</v>
      </c>
    </row>
    <row r="5" customFormat="false" ht="31.5" hidden="false" customHeight="true" outlineLevel="0" collapsed="false">
      <c r="A5" s="22" t="s">
        <v>78</v>
      </c>
      <c r="B5" s="4"/>
      <c r="C5" s="4"/>
      <c r="D5" s="4"/>
      <c r="E5" s="4"/>
      <c r="F5" s="4"/>
      <c r="G5" s="4"/>
    </row>
    <row r="6" customFormat="false" ht="15" hidden="false" customHeight="false" outlineLevel="0" collapsed="false">
      <c r="A6" s="23" t="s">
        <v>97</v>
      </c>
    </row>
    <row r="7" customFormat="false" ht="23.85" hidden="false" customHeight="false" outlineLevel="0" collapsed="false">
      <c r="A7" s="24" t="s">
        <v>98</v>
      </c>
      <c r="B7" s="24" t="s">
        <v>99</v>
      </c>
      <c r="C7" s="24" t="s">
        <v>100</v>
      </c>
    </row>
    <row r="8" customFormat="false" ht="15" hidden="false" customHeight="false" outlineLevel="0" collapsed="false">
      <c r="A8" s="25" t="s">
        <v>101</v>
      </c>
      <c r="B8" s="11" t="n">
        <f aca="false">COUNTIF(Responses!$B$2:$B$1000,A8)</f>
        <v>0</v>
      </c>
      <c r="C8" s="13" t="str">
        <f aca="false">IF($B$12=0,"",B8/$B$12)</f>
        <v/>
      </c>
    </row>
    <row r="9" customFormat="false" ht="15" hidden="false" customHeight="false" outlineLevel="0" collapsed="false">
      <c r="A9" s="25" t="s">
        <v>34</v>
      </c>
      <c r="B9" s="11" t="n">
        <f aca="false">COUNTIF(Responses!$B$2:$B$1000,A9)</f>
        <v>0</v>
      </c>
      <c r="C9" s="13" t="str">
        <f aca="false">IF($B$12=0,"",B9/$B$12)</f>
        <v/>
      </c>
    </row>
    <row r="10" customFormat="false" ht="15" hidden="false" customHeight="false" outlineLevel="0" collapsed="false">
      <c r="A10" s="25" t="s">
        <v>102</v>
      </c>
      <c r="B10" s="11" t="n">
        <f aca="false">COUNTIF(Responses!$B$2:$B$1000,A10)</f>
        <v>0</v>
      </c>
      <c r="C10" s="13" t="str">
        <f aca="false">IF($B$12=0,"",B10/$B$12)</f>
        <v/>
      </c>
    </row>
    <row r="11" customFormat="false" ht="15" hidden="false" customHeight="false" outlineLevel="0" collapsed="false">
      <c r="A11" s="25" t="s">
        <v>103</v>
      </c>
      <c r="B11" s="11" t="n">
        <f aca="false">COUNTIF(Responses!$B$2:$B$1000,A11)</f>
        <v>0</v>
      </c>
      <c r="C11" s="13" t="str">
        <f aca="false">IF($B$12=0,"",B11/$B$12)</f>
        <v/>
      </c>
    </row>
    <row r="12" customFormat="false" ht="15" hidden="false" customHeight="false" outlineLevel="0" collapsed="false">
      <c r="A12" s="26" t="s">
        <v>104</v>
      </c>
      <c r="B12" s="27" t="n">
        <f aca="false">COUNTA(Responses!$B$2:$B$1000)</f>
        <v>0</v>
      </c>
    </row>
    <row r="13" customFormat="false" ht="15" hidden="false" customHeight="false" outlineLevel="0" collapsed="false">
      <c r="A13" s="25" t="s">
        <v>105</v>
      </c>
      <c r="B13" s="11" t="n">
        <f aca="false">Start_Here!$C$19</f>
        <v>0</v>
      </c>
    </row>
    <row r="14" customFormat="false" ht="15" hidden="false" customHeight="false" outlineLevel="0" collapsed="false">
      <c r="A14" s="26" t="s">
        <v>106</v>
      </c>
      <c r="B14" s="28" t="str">
        <f aca="false">IF(B13=0,"",B12/B13)</f>
        <v/>
      </c>
    </row>
    <row r="15" customFormat="false" ht="15" hidden="false" customHeight="false" outlineLevel="0" collapsed="false">
      <c r="A15" s="29" t="s">
        <v>107</v>
      </c>
      <c r="B15" s="30" t="n">
        <f aca="false">B12-SUM(B8:B11)</f>
        <v>0</v>
      </c>
    </row>
    <row r="23" customFormat="false" ht="48" hidden="false" customHeight="true" outlineLevel="0" collapsed="false">
      <c r="A23" s="31" t="s">
        <v>108</v>
      </c>
      <c r="B23" s="32"/>
      <c r="C23" s="32"/>
      <c r="D23" s="32"/>
      <c r="E23" s="32"/>
      <c r="F23" s="32"/>
      <c r="G23" s="32"/>
    </row>
    <row r="25" customFormat="false" ht="31.5" hidden="false" customHeight="true" outlineLevel="0" collapsed="false">
      <c r="A25" s="22" t="s">
        <v>79</v>
      </c>
      <c r="B25" s="4"/>
      <c r="C25" s="4"/>
      <c r="D25" s="4"/>
      <c r="E25" s="4"/>
      <c r="F25" s="4"/>
      <c r="G25" s="4"/>
    </row>
    <row r="26" customFormat="false" ht="15" hidden="false" customHeight="false" outlineLevel="0" collapsed="false">
      <c r="A26" s="23" t="s">
        <v>97</v>
      </c>
    </row>
    <row r="27" customFormat="false" ht="23.85" hidden="false" customHeight="false" outlineLevel="0" collapsed="false">
      <c r="A27" s="24" t="s">
        <v>98</v>
      </c>
      <c r="B27" s="24" t="s">
        <v>99</v>
      </c>
      <c r="C27" s="24" t="s">
        <v>100</v>
      </c>
    </row>
    <row r="28" customFormat="false" ht="15" hidden="false" customHeight="false" outlineLevel="0" collapsed="false">
      <c r="A28" s="25" t="s">
        <v>109</v>
      </c>
      <c r="B28" s="11" t="n">
        <f aca="false">COUNTIF(Responses!$C$2:$C$1000,A28)</f>
        <v>0</v>
      </c>
      <c r="C28" s="13" t="str">
        <f aca="false">IF($B$32=0,"",B28/$B$32)</f>
        <v/>
      </c>
    </row>
    <row r="29" customFormat="false" ht="15" hidden="false" customHeight="false" outlineLevel="0" collapsed="false">
      <c r="A29" s="25" t="s">
        <v>37</v>
      </c>
      <c r="B29" s="11" t="n">
        <f aca="false">COUNTIF(Responses!$C$2:$C$1000,A29)</f>
        <v>0</v>
      </c>
      <c r="C29" s="13" t="str">
        <f aca="false">IF($B$32=0,"",B29/$B$32)</f>
        <v/>
      </c>
    </row>
    <row r="30" customFormat="false" ht="15" hidden="false" customHeight="false" outlineLevel="0" collapsed="false">
      <c r="A30" s="25" t="s">
        <v>110</v>
      </c>
      <c r="B30" s="11" t="n">
        <f aca="false">COUNTIF(Responses!$C$2:$C$1000,A30)</f>
        <v>0</v>
      </c>
      <c r="C30" s="13" t="str">
        <f aca="false">IF($B$32=0,"",B30/$B$32)</f>
        <v/>
      </c>
    </row>
    <row r="31" customFormat="false" ht="15" hidden="false" customHeight="false" outlineLevel="0" collapsed="false">
      <c r="A31" s="25" t="s">
        <v>111</v>
      </c>
      <c r="B31" s="11" t="n">
        <f aca="false">COUNTIF(Responses!$C$2:$C$1000,A31)</f>
        <v>0</v>
      </c>
      <c r="C31" s="13" t="str">
        <f aca="false">IF($B$32=0,"",B31/$B$32)</f>
        <v/>
      </c>
    </row>
    <row r="32" customFormat="false" ht="15" hidden="false" customHeight="false" outlineLevel="0" collapsed="false">
      <c r="A32" s="26" t="s">
        <v>104</v>
      </c>
      <c r="B32" s="27" t="n">
        <f aca="false">COUNTA(Responses!$C$2:$C$1000)</f>
        <v>0</v>
      </c>
    </row>
    <row r="33" customFormat="false" ht="15" hidden="false" customHeight="false" outlineLevel="0" collapsed="false">
      <c r="A33" s="25" t="s">
        <v>105</v>
      </c>
      <c r="B33" s="11" t="n">
        <f aca="false">Start_Here!$C$19</f>
        <v>0</v>
      </c>
    </row>
    <row r="34" customFormat="false" ht="15" hidden="false" customHeight="false" outlineLevel="0" collapsed="false">
      <c r="A34" s="26" t="s">
        <v>106</v>
      </c>
      <c r="B34" s="28" t="str">
        <f aca="false">IF(B33=0,"",B32/B33)</f>
        <v/>
      </c>
    </row>
    <row r="35" customFormat="false" ht="15" hidden="false" customHeight="false" outlineLevel="0" collapsed="false">
      <c r="A35" s="29" t="s">
        <v>107</v>
      </c>
      <c r="B35" s="30" t="n">
        <f aca="false">B32-SUM(B28:B31)</f>
        <v>0</v>
      </c>
    </row>
    <row r="43" customFormat="false" ht="48" hidden="false" customHeight="true" outlineLevel="0" collapsed="false">
      <c r="A43" s="31" t="s">
        <v>108</v>
      </c>
      <c r="B43" s="32"/>
      <c r="C43" s="32"/>
      <c r="D43" s="32"/>
      <c r="E43" s="32"/>
      <c r="F43" s="32"/>
      <c r="G43" s="32"/>
    </row>
    <row r="45" customFormat="false" ht="31.5" hidden="false" customHeight="true" outlineLevel="0" collapsed="false">
      <c r="A45" s="22" t="s">
        <v>80</v>
      </c>
      <c r="B45" s="4"/>
      <c r="C45" s="4"/>
      <c r="D45" s="4"/>
      <c r="E45" s="4"/>
      <c r="F45" s="4"/>
      <c r="G45" s="4"/>
    </row>
    <row r="46" customFormat="false" ht="15" hidden="false" customHeight="false" outlineLevel="0" collapsed="false">
      <c r="A46" s="23" t="s">
        <v>97</v>
      </c>
    </row>
    <row r="47" customFormat="false" ht="23.85" hidden="false" customHeight="false" outlineLevel="0" collapsed="false">
      <c r="A47" s="24" t="s">
        <v>98</v>
      </c>
      <c r="B47" s="24" t="s">
        <v>99</v>
      </c>
      <c r="C47" s="24" t="s">
        <v>100</v>
      </c>
    </row>
    <row r="48" customFormat="false" ht="15" hidden="false" customHeight="false" outlineLevel="0" collapsed="false">
      <c r="A48" s="25" t="s">
        <v>112</v>
      </c>
      <c r="B48" s="11" t="n">
        <f aca="false">COUNTIF(Responses!$D$2:$D$1000,A48)</f>
        <v>0</v>
      </c>
      <c r="C48" s="13" t="str">
        <f aca="false">IF($B$53=0,"",B48/$B$53)</f>
        <v/>
      </c>
    </row>
    <row r="49" customFormat="false" ht="15" hidden="false" customHeight="false" outlineLevel="0" collapsed="false">
      <c r="A49" s="25" t="s">
        <v>113</v>
      </c>
      <c r="B49" s="11" t="n">
        <f aca="false">COUNTIF(Responses!$D$2:$D$1000,A49)</f>
        <v>0</v>
      </c>
      <c r="C49" s="13" t="str">
        <f aca="false">IF($B$53=0,"",B49/$B$53)</f>
        <v/>
      </c>
    </row>
    <row r="50" customFormat="false" ht="15" hidden="false" customHeight="false" outlineLevel="0" collapsed="false">
      <c r="A50" s="25" t="s">
        <v>114</v>
      </c>
      <c r="B50" s="11" t="n">
        <f aca="false">COUNTIF(Responses!$D$2:$D$1000,A50)</f>
        <v>0</v>
      </c>
      <c r="C50" s="13" t="str">
        <f aca="false">IF($B$53=0,"",B50/$B$53)</f>
        <v/>
      </c>
    </row>
    <row r="51" customFormat="false" ht="15" hidden="false" customHeight="false" outlineLevel="0" collapsed="false">
      <c r="A51" s="25" t="s">
        <v>39</v>
      </c>
      <c r="B51" s="11" t="n">
        <f aca="false">COUNTIF(Responses!$D$2:$D$1000,A51)</f>
        <v>0</v>
      </c>
      <c r="C51" s="13" t="str">
        <f aca="false">IF($B$53=0,"",B51/$B$53)</f>
        <v/>
      </c>
    </row>
    <row r="52" customFormat="false" ht="15" hidden="false" customHeight="false" outlineLevel="0" collapsed="false">
      <c r="A52" s="25" t="s">
        <v>115</v>
      </c>
      <c r="B52" s="11" t="n">
        <f aca="false">COUNTIF(Responses!$D$2:$D$1000,A52)</f>
        <v>0</v>
      </c>
      <c r="C52" s="13" t="str">
        <f aca="false">IF($B$53=0,"",B52/$B$53)</f>
        <v/>
      </c>
    </row>
    <row r="53" customFormat="false" ht="15" hidden="false" customHeight="false" outlineLevel="0" collapsed="false">
      <c r="A53" s="26" t="s">
        <v>104</v>
      </c>
      <c r="B53" s="27" t="n">
        <f aca="false">COUNTA(Responses!$D$2:$D$1000)</f>
        <v>0</v>
      </c>
    </row>
    <row r="54" customFormat="false" ht="15" hidden="false" customHeight="false" outlineLevel="0" collapsed="false">
      <c r="A54" s="25" t="s">
        <v>105</v>
      </c>
      <c r="B54" s="11" t="n">
        <f aca="false">Start_Here!$C$19</f>
        <v>0</v>
      </c>
    </row>
    <row r="55" customFormat="false" ht="15" hidden="false" customHeight="false" outlineLevel="0" collapsed="false">
      <c r="A55" s="26" t="s">
        <v>106</v>
      </c>
      <c r="B55" s="28" t="str">
        <f aca="false">IF(B54=0,"",B53/B54)</f>
        <v/>
      </c>
    </row>
    <row r="56" customFormat="false" ht="15" hidden="false" customHeight="false" outlineLevel="0" collapsed="false">
      <c r="A56" s="29" t="s">
        <v>107</v>
      </c>
      <c r="B56" s="30" t="n">
        <f aca="false">B53-SUM(B48:B52)</f>
        <v>0</v>
      </c>
    </row>
    <row r="63" customFormat="false" ht="48" hidden="false" customHeight="true" outlineLevel="0" collapsed="false">
      <c r="A63" s="31" t="s">
        <v>108</v>
      </c>
      <c r="B63" s="32"/>
      <c r="C63" s="32"/>
      <c r="D63" s="32"/>
      <c r="E63" s="32"/>
      <c r="F63" s="32"/>
      <c r="G63" s="32"/>
    </row>
    <row r="65" customFormat="false" ht="31.5" hidden="false" customHeight="true" outlineLevel="0" collapsed="false">
      <c r="A65" s="22" t="s">
        <v>81</v>
      </c>
      <c r="B65" s="4"/>
      <c r="C65" s="4"/>
      <c r="D65" s="4"/>
      <c r="E65" s="4"/>
      <c r="F65" s="4"/>
      <c r="G65" s="4"/>
    </row>
    <row r="66" customFormat="false" ht="15" hidden="false" customHeight="false" outlineLevel="0" collapsed="false">
      <c r="A66" s="23" t="s">
        <v>116</v>
      </c>
    </row>
    <row r="67" customFormat="false" ht="23.85" hidden="false" customHeight="false" outlineLevel="0" collapsed="false">
      <c r="A67" s="24" t="s">
        <v>98</v>
      </c>
      <c r="B67" s="24" t="s">
        <v>99</v>
      </c>
      <c r="C67" s="24" t="s">
        <v>100</v>
      </c>
    </row>
    <row r="68" customFormat="false" ht="15" hidden="false" customHeight="false" outlineLevel="0" collapsed="false">
      <c r="A68" s="25" t="s">
        <v>117</v>
      </c>
      <c r="B68" s="11" t="n">
        <f aca="false">COUNTIF(Responses!$E$2:$E$1000,"*"&amp;A68&amp;"*")</f>
        <v>0</v>
      </c>
      <c r="C68" s="13" t="str">
        <f aca="false">IF($B$75=0,"",B68/$B$75)</f>
        <v/>
      </c>
    </row>
    <row r="69" customFormat="false" ht="15" hidden="false" customHeight="false" outlineLevel="0" collapsed="false">
      <c r="A69" s="25" t="s">
        <v>118</v>
      </c>
      <c r="B69" s="11" t="n">
        <f aca="false">COUNTIF(Responses!$E$2:$E$1000,"*"&amp;A69&amp;"*")</f>
        <v>0</v>
      </c>
      <c r="C69" s="13" t="str">
        <f aca="false">IF($B$75=0,"",B69/$B$75)</f>
        <v/>
      </c>
    </row>
    <row r="70" customFormat="false" ht="15" hidden="false" customHeight="false" outlineLevel="0" collapsed="false">
      <c r="A70" s="25" t="s">
        <v>119</v>
      </c>
      <c r="B70" s="11" t="n">
        <f aca="false">COUNTIF(Responses!$E$2:$E$1000,"*"&amp;A70&amp;"*")</f>
        <v>0</v>
      </c>
      <c r="C70" s="13" t="str">
        <f aca="false">IF($B$75=0,"",B70/$B$75)</f>
        <v/>
      </c>
    </row>
    <row r="71" customFormat="false" ht="15" hidden="false" customHeight="false" outlineLevel="0" collapsed="false">
      <c r="A71" s="25" t="s">
        <v>120</v>
      </c>
      <c r="B71" s="11" t="n">
        <f aca="false">COUNTIF(Responses!$E$2:$E$1000,"*"&amp;A71&amp;"*")</f>
        <v>0</v>
      </c>
      <c r="C71" s="13" t="str">
        <f aca="false">IF($B$75=0,"",B71/$B$75)</f>
        <v/>
      </c>
    </row>
    <row r="72" customFormat="false" ht="15" hidden="false" customHeight="false" outlineLevel="0" collapsed="false">
      <c r="A72" s="25" t="s">
        <v>121</v>
      </c>
      <c r="B72" s="11" t="n">
        <f aca="false">COUNTIF(Responses!$E$2:$E$1000,"*"&amp;A72&amp;"*")</f>
        <v>0</v>
      </c>
      <c r="C72" s="13" t="str">
        <f aca="false">IF($B$75=0,"",B72/$B$75)</f>
        <v/>
      </c>
    </row>
    <row r="73" customFormat="false" ht="15" hidden="false" customHeight="false" outlineLevel="0" collapsed="false">
      <c r="A73" s="25" t="s">
        <v>122</v>
      </c>
      <c r="B73" s="11" t="n">
        <f aca="false">COUNTIF(Responses!$E$2:$E$1000,"*"&amp;A73&amp;"*")</f>
        <v>0</v>
      </c>
      <c r="C73" s="13" t="str">
        <f aca="false">IF($B$75=0,"",B73/$B$75)</f>
        <v/>
      </c>
    </row>
    <row r="74" customFormat="false" ht="15" hidden="false" customHeight="false" outlineLevel="0" collapsed="false">
      <c r="A74" s="25" t="s">
        <v>123</v>
      </c>
      <c r="B74" s="11" t="n">
        <f aca="false">COUNTIF(Responses!$E$2:$E$1000,"*"&amp;A74&amp;"*")</f>
        <v>0</v>
      </c>
      <c r="C74" s="13" t="str">
        <f aca="false">IF($B$75=0,"",B74/$B$75)</f>
        <v/>
      </c>
    </row>
    <row r="75" customFormat="false" ht="15" hidden="false" customHeight="false" outlineLevel="0" collapsed="false">
      <c r="A75" s="26" t="s">
        <v>104</v>
      </c>
      <c r="B75" s="27" t="n">
        <f aca="false">COUNTA(Responses!$E$2:$E$1000)</f>
        <v>0</v>
      </c>
    </row>
    <row r="76" customFormat="false" ht="15" hidden="false" customHeight="false" outlineLevel="0" collapsed="false">
      <c r="A76" s="25" t="s">
        <v>105</v>
      </c>
      <c r="B76" s="11" t="n">
        <f aca="false">Start_Here!$C$22</f>
        <v>0</v>
      </c>
    </row>
    <row r="77" customFormat="false" ht="15" hidden="false" customHeight="false" outlineLevel="0" collapsed="false">
      <c r="A77" s="26" t="s">
        <v>106</v>
      </c>
      <c r="B77" s="28" t="str">
        <f aca="false">IF(B76=0,"",B75/B76)</f>
        <v/>
      </c>
    </row>
    <row r="78" customFormat="false" ht="15" hidden="false" customHeight="false" outlineLevel="0" collapsed="false">
      <c r="A78" s="23" t="s">
        <v>124</v>
      </c>
    </row>
    <row r="83" customFormat="false" ht="48" hidden="false" customHeight="true" outlineLevel="0" collapsed="false">
      <c r="A83" s="31" t="s">
        <v>108</v>
      </c>
      <c r="B83" s="32"/>
      <c r="C83" s="32"/>
      <c r="D83" s="32"/>
      <c r="E83" s="32"/>
      <c r="F83" s="32"/>
      <c r="G83" s="32"/>
    </row>
    <row r="85" customFormat="false" ht="31.5" hidden="false" customHeight="true" outlineLevel="0" collapsed="false">
      <c r="A85" s="22" t="s">
        <v>82</v>
      </c>
      <c r="B85" s="4"/>
      <c r="C85" s="4"/>
      <c r="D85" s="4"/>
      <c r="E85" s="4"/>
      <c r="F85" s="4"/>
      <c r="G85" s="4"/>
    </row>
    <row r="86" customFormat="false" ht="15" hidden="false" customHeight="false" outlineLevel="0" collapsed="false">
      <c r="A86" s="23" t="s">
        <v>125</v>
      </c>
    </row>
    <row r="87" customFormat="false" ht="23.85" hidden="false" customHeight="false" outlineLevel="0" collapsed="false">
      <c r="A87" s="24" t="s">
        <v>98</v>
      </c>
      <c r="B87" s="24" t="s">
        <v>99</v>
      </c>
      <c r="C87" s="24" t="s">
        <v>100</v>
      </c>
    </row>
    <row r="88" customFormat="false" ht="15" hidden="false" customHeight="false" outlineLevel="0" collapsed="false">
      <c r="A88" s="25" t="s">
        <v>126</v>
      </c>
      <c r="B88" s="11" t="n">
        <f aca="false">COUNTIF(Responses!$F$2:$F$1000,A88)</f>
        <v>0</v>
      </c>
      <c r="C88" s="13" t="str">
        <f aca="false">IF($B$93=0,"",B88/$B$93)</f>
        <v/>
      </c>
    </row>
    <row r="89" customFormat="false" ht="15" hidden="false" customHeight="false" outlineLevel="0" collapsed="false">
      <c r="A89" s="25" t="s">
        <v>127</v>
      </c>
      <c r="B89" s="11" t="n">
        <f aca="false">COUNTIF(Responses!$F$2:$F$1000,A89)</f>
        <v>0</v>
      </c>
      <c r="C89" s="13" t="str">
        <f aca="false">IF($B$93=0,"",B89/$B$93)</f>
        <v/>
      </c>
    </row>
    <row r="90" customFormat="false" ht="15" hidden="false" customHeight="false" outlineLevel="0" collapsed="false">
      <c r="A90" s="25" t="s">
        <v>44</v>
      </c>
      <c r="B90" s="11" t="n">
        <f aca="false">COUNTIF(Responses!$F$2:$F$1000,A90)</f>
        <v>0</v>
      </c>
      <c r="C90" s="13" t="str">
        <f aca="false">IF($B$93=0,"",B90/$B$93)</f>
        <v/>
      </c>
    </row>
    <row r="91" customFormat="false" ht="15" hidden="false" customHeight="false" outlineLevel="0" collapsed="false">
      <c r="A91" s="25" t="s">
        <v>128</v>
      </c>
      <c r="B91" s="11" t="n">
        <f aca="false">COUNTIF(Responses!$F$2:$F$1000,A91)</f>
        <v>0</v>
      </c>
      <c r="C91" s="13" t="str">
        <f aca="false">IF($B$93=0,"",B91/$B$93)</f>
        <v/>
      </c>
    </row>
    <row r="92" customFormat="false" ht="15" hidden="false" customHeight="false" outlineLevel="0" collapsed="false">
      <c r="A92" s="25" t="s">
        <v>129</v>
      </c>
      <c r="B92" s="11" t="n">
        <f aca="false">COUNTIF(Responses!$F$2:$F$1000,A92)</f>
        <v>0</v>
      </c>
      <c r="C92" s="13" t="str">
        <f aca="false">IF($B$93=0,"",B92/$B$93)</f>
        <v/>
      </c>
    </row>
    <row r="93" customFormat="false" ht="15" hidden="false" customHeight="false" outlineLevel="0" collapsed="false">
      <c r="A93" s="26" t="s">
        <v>104</v>
      </c>
      <c r="B93" s="27" t="n">
        <f aca="false">COUNTA(Responses!$F$2:$F$1000)</f>
        <v>0</v>
      </c>
    </row>
    <row r="94" customFormat="false" ht="15" hidden="false" customHeight="false" outlineLevel="0" collapsed="false">
      <c r="A94" s="25" t="s">
        <v>105</v>
      </c>
      <c r="B94" s="11" t="n">
        <f aca="false">Start_Here!$C$22</f>
        <v>0</v>
      </c>
    </row>
    <row r="95" customFormat="false" ht="15" hidden="false" customHeight="false" outlineLevel="0" collapsed="false">
      <c r="A95" s="26" t="s">
        <v>106</v>
      </c>
      <c r="B95" s="28" t="str">
        <f aca="false">IF(B94=0,"",B93/B94)</f>
        <v/>
      </c>
    </row>
    <row r="96" customFormat="false" ht="15" hidden="false" customHeight="false" outlineLevel="0" collapsed="false">
      <c r="A96" s="29" t="s">
        <v>107</v>
      </c>
      <c r="B96" s="30" t="n">
        <f aca="false">B93-SUM(B88:B92)</f>
        <v>0</v>
      </c>
    </row>
    <row r="103" customFormat="false" ht="48" hidden="false" customHeight="true" outlineLevel="0" collapsed="false">
      <c r="A103" s="31" t="s">
        <v>108</v>
      </c>
      <c r="B103" s="32"/>
      <c r="C103" s="32"/>
      <c r="D103" s="32"/>
      <c r="E103" s="32"/>
      <c r="F103" s="32"/>
      <c r="G103" s="32"/>
    </row>
    <row r="105" customFormat="false" ht="31.5" hidden="false" customHeight="true" outlineLevel="0" collapsed="false">
      <c r="A105" s="22" t="s">
        <v>130</v>
      </c>
      <c r="B105" s="4"/>
      <c r="C105" s="4"/>
      <c r="D105" s="4"/>
      <c r="E105" s="4"/>
      <c r="F105" s="4"/>
      <c r="G105" s="4"/>
    </row>
    <row r="106" customFormat="false" ht="15" hidden="false" customHeight="false" outlineLevel="0" collapsed="false">
      <c r="A106" s="23" t="s">
        <v>131</v>
      </c>
    </row>
    <row r="107" customFormat="false" ht="25.5" hidden="false" customHeight="true" outlineLevel="0" collapsed="false">
      <c r="A107" s="14" t="s">
        <v>132</v>
      </c>
      <c r="B107" s="33" t="s">
        <v>133</v>
      </c>
      <c r="C107" s="33" t="s">
        <v>134</v>
      </c>
      <c r="D107" s="33" t="s">
        <v>135</v>
      </c>
      <c r="E107" s="33" t="s">
        <v>46</v>
      </c>
      <c r="F107" s="33" t="s">
        <v>136</v>
      </c>
      <c r="G107" s="33" t="s">
        <v>137</v>
      </c>
    </row>
    <row r="108" customFormat="false" ht="27.75" hidden="false" customHeight="true" outlineLevel="0" collapsed="false">
      <c r="A108" s="6" t="s">
        <v>138</v>
      </c>
      <c r="B108" s="11" t="n">
        <f aca="false">COUNTIF(Responses!$G$2:$G$1000,B$107)</f>
        <v>0</v>
      </c>
      <c r="C108" s="11" t="n">
        <f aca="false">COUNTIF(Responses!$G$2:$G$1000,C$107)</f>
        <v>0</v>
      </c>
      <c r="D108" s="11" t="n">
        <f aca="false">COUNTIF(Responses!$G$2:$G$1000,D$107)</f>
        <v>0</v>
      </c>
      <c r="E108" s="11" t="n">
        <f aca="false">COUNTIF(Responses!$G$2:$G$1000,E$107)</f>
        <v>0</v>
      </c>
      <c r="F108" s="11" t="n">
        <f aca="false">COUNTIF(Responses!$G$2:$G$1000,F$107)</f>
        <v>0</v>
      </c>
      <c r="G108" s="27" t="n">
        <f aca="false">COUNTA(Responses!$G$2:$G$1000)</f>
        <v>0</v>
      </c>
    </row>
    <row r="109" customFormat="false" ht="27.75" hidden="false" customHeight="true" outlineLevel="0" collapsed="false">
      <c r="A109" s="6" t="s">
        <v>139</v>
      </c>
      <c r="B109" s="11" t="n">
        <f aca="false">COUNTIF(Responses!$H$2:$H$1000,B$107)</f>
        <v>0</v>
      </c>
      <c r="C109" s="11" t="n">
        <f aca="false">COUNTIF(Responses!$H$2:$H$1000,C$107)</f>
        <v>0</v>
      </c>
      <c r="D109" s="11" t="n">
        <f aca="false">COUNTIF(Responses!$H$2:$H$1000,D$107)</f>
        <v>0</v>
      </c>
      <c r="E109" s="11" t="n">
        <f aca="false">COUNTIF(Responses!$H$2:$H$1000,E$107)</f>
        <v>0</v>
      </c>
      <c r="F109" s="11" t="n">
        <f aca="false">COUNTIF(Responses!$H$2:$H$1000,F$107)</f>
        <v>0</v>
      </c>
      <c r="G109" s="27" t="n">
        <f aca="false">COUNTA(Responses!$H$2:$H$1000)</f>
        <v>0</v>
      </c>
    </row>
    <row r="110" customFormat="false" ht="27.75" hidden="false" customHeight="true" outlineLevel="0" collapsed="false">
      <c r="A110" s="6" t="s">
        <v>140</v>
      </c>
      <c r="B110" s="11" t="n">
        <f aca="false">COUNTIF(Responses!$I$2:$I$1000,B$107)</f>
        <v>0</v>
      </c>
      <c r="C110" s="11" t="n">
        <f aca="false">COUNTIF(Responses!$I$2:$I$1000,C$107)</f>
        <v>0</v>
      </c>
      <c r="D110" s="11" t="n">
        <f aca="false">COUNTIF(Responses!$I$2:$I$1000,D$107)</f>
        <v>0</v>
      </c>
      <c r="E110" s="11" t="n">
        <f aca="false">COUNTIF(Responses!$I$2:$I$1000,E$107)</f>
        <v>0</v>
      </c>
      <c r="F110" s="11" t="n">
        <f aca="false">COUNTIF(Responses!$I$2:$I$1000,F$107)</f>
        <v>0</v>
      </c>
      <c r="G110" s="27" t="n">
        <f aca="false">COUNTA(Responses!$I$2:$I$1000)</f>
        <v>0</v>
      </c>
    </row>
    <row r="112" customFormat="false" ht="37.5" hidden="false" customHeight="true" outlineLevel="0" collapsed="false">
      <c r="A112" s="14" t="s">
        <v>100</v>
      </c>
      <c r="B112" s="33" t="s">
        <v>133</v>
      </c>
      <c r="C112" s="33" t="s">
        <v>134</v>
      </c>
      <c r="D112" s="33" t="s">
        <v>135</v>
      </c>
      <c r="E112" s="33" t="s">
        <v>46</v>
      </c>
      <c r="F112" s="33" t="s">
        <v>136</v>
      </c>
      <c r="G112" s="33" t="s">
        <v>141</v>
      </c>
    </row>
    <row r="113" customFormat="false" ht="27.75" hidden="false" customHeight="true" outlineLevel="0" collapsed="false">
      <c r="A113" s="6" t="s">
        <v>138</v>
      </c>
      <c r="B113" s="13" t="str">
        <f aca="false">IF($G108=0,"",B108/$G108)</f>
        <v/>
      </c>
      <c r="C113" s="13" t="str">
        <f aca="false">IF($G108=0,"",C108/$G108)</f>
        <v/>
      </c>
      <c r="D113" s="13" t="str">
        <f aca="false">IF($G108=0,"",D108/$G108)</f>
        <v/>
      </c>
      <c r="E113" s="13" t="str">
        <f aca="false">IF($G108=0,"",E108/$G108)</f>
        <v/>
      </c>
      <c r="F113" s="13" t="str">
        <f aca="false">IF($G108=0,"",F108/$G108)</f>
        <v/>
      </c>
      <c r="G113" s="28" t="str">
        <f aca="false">IF($G108=0,"",(E108+F108)/$G108)</f>
        <v/>
      </c>
    </row>
    <row r="114" customFormat="false" ht="27.75" hidden="false" customHeight="true" outlineLevel="0" collapsed="false">
      <c r="A114" s="6" t="s">
        <v>139</v>
      </c>
      <c r="B114" s="13" t="str">
        <f aca="false">IF($G109=0,"",B109/$G109)</f>
        <v/>
      </c>
      <c r="C114" s="13" t="str">
        <f aca="false">IF($G109=0,"",C109/$G109)</f>
        <v/>
      </c>
      <c r="D114" s="13" t="str">
        <f aca="false">IF($G109=0,"",D109/$G109)</f>
        <v/>
      </c>
      <c r="E114" s="13" t="str">
        <f aca="false">IF($G109=0,"",E109/$G109)</f>
        <v/>
      </c>
      <c r="F114" s="13" t="str">
        <f aca="false">IF($G109=0,"",F109/$G109)</f>
        <v/>
      </c>
      <c r="G114" s="28" t="str">
        <f aca="false">IF($G109=0,"",(E109+F109)/$G109)</f>
        <v/>
      </c>
    </row>
    <row r="115" customFormat="false" ht="27.75" hidden="false" customHeight="true" outlineLevel="0" collapsed="false">
      <c r="A115" s="6" t="s">
        <v>140</v>
      </c>
      <c r="B115" s="13" t="str">
        <f aca="false">IF($G110=0,"",B110/$G110)</f>
        <v/>
      </c>
      <c r="C115" s="13" t="str">
        <f aca="false">IF($G110=0,"",C110/$G110)</f>
        <v/>
      </c>
      <c r="D115" s="13" t="str">
        <f aca="false">IF($G110=0,"",D110/$G110)</f>
        <v/>
      </c>
      <c r="E115" s="13" t="str">
        <f aca="false">IF($G110=0,"",E110/$G110)</f>
        <v/>
      </c>
      <c r="F115" s="13" t="str">
        <f aca="false">IF($G110=0,"",F110/$G110)</f>
        <v/>
      </c>
      <c r="G115" s="28" t="str">
        <f aca="false">IF($G110=0,"",(E110+F110)/$G110)</f>
        <v/>
      </c>
    </row>
    <row r="117" customFormat="false" ht="15" hidden="false" customHeight="false" outlineLevel="0" collapsed="false">
      <c r="A117" s="25" t="s">
        <v>105</v>
      </c>
      <c r="B117" s="11" t="n">
        <f aca="false">Start_Here!$C$22</f>
        <v>0</v>
      </c>
    </row>
    <row r="118" customFormat="false" ht="15" hidden="false" customHeight="false" outlineLevel="0" collapsed="false">
      <c r="A118" s="26" t="s">
        <v>142</v>
      </c>
      <c r="B118" s="28" t="str">
        <f aca="false">IF(B117=0,"",MIN(G108:G110)/B117)</f>
        <v/>
      </c>
    </row>
    <row r="119" customFormat="false" ht="15" hidden="false" customHeight="false" outlineLevel="0" collapsed="false">
      <c r="A119" s="34" t="s">
        <v>143</v>
      </c>
      <c r="B119" s="30" t="n">
        <f aca="false">SUM(G108:G110)-SUM(B108:F110)</f>
        <v>0</v>
      </c>
    </row>
    <row r="138" customFormat="false" ht="48" hidden="false" customHeight="true" outlineLevel="0" collapsed="false">
      <c r="A138" s="31" t="s">
        <v>108</v>
      </c>
      <c r="B138" s="32"/>
      <c r="C138" s="32"/>
      <c r="D138" s="32"/>
      <c r="E138" s="32"/>
      <c r="F138" s="32"/>
      <c r="G138" s="32"/>
    </row>
    <row r="140" customFormat="false" ht="31.5" hidden="false" customHeight="true" outlineLevel="0" collapsed="false">
      <c r="A140" s="22" t="s">
        <v>86</v>
      </c>
      <c r="B140" s="4"/>
      <c r="C140" s="4"/>
      <c r="D140" s="4"/>
      <c r="E140" s="4"/>
      <c r="F140" s="4"/>
      <c r="G140" s="4"/>
    </row>
    <row r="141" customFormat="false" ht="15" hidden="false" customHeight="false" outlineLevel="0" collapsed="false">
      <c r="A141" s="23" t="s">
        <v>144</v>
      </c>
    </row>
    <row r="142" customFormat="false" ht="23.85" hidden="false" customHeight="false" outlineLevel="0" collapsed="false">
      <c r="A142" s="24" t="s">
        <v>145</v>
      </c>
      <c r="B142" s="24" t="s">
        <v>99</v>
      </c>
      <c r="C142" s="24" t="s">
        <v>100</v>
      </c>
    </row>
    <row r="143" customFormat="false" ht="15" hidden="false" customHeight="false" outlineLevel="0" collapsed="false">
      <c r="A143" s="25" t="s">
        <v>146</v>
      </c>
      <c r="B143" s="11" t="n">
        <f aca="false">COUNTIF(Responses!$J$2:$J$1000,1)</f>
        <v>0</v>
      </c>
      <c r="C143" s="13" t="str">
        <f aca="false">IF($B$148=0,"",B143/$B$148)</f>
        <v/>
      </c>
    </row>
    <row r="144" customFormat="false" ht="15" hidden="false" customHeight="false" outlineLevel="0" collapsed="false">
      <c r="A144" s="25" t="s">
        <v>147</v>
      </c>
      <c r="B144" s="11" t="n">
        <f aca="false">COUNTIF(Responses!$J$2:$J$1000,2)</f>
        <v>0</v>
      </c>
      <c r="C144" s="13" t="str">
        <f aca="false">IF($B$148=0,"",B144/$B$148)</f>
        <v/>
      </c>
    </row>
    <row r="145" customFormat="false" ht="15" hidden="false" customHeight="false" outlineLevel="0" collapsed="false">
      <c r="A145" s="25" t="s">
        <v>60</v>
      </c>
      <c r="B145" s="11" t="n">
        <f aca="false">COUNTIF(Responses!$J$2:$J$1000,3)</f>
        <v>0</v>
      </c>
      <c r="C145" s="13" t="str">
        <f aca="false">IF($B$148=0,"",B145/$B$148)</f>
        <v/>
      </c>
    </row>
    <row r="146" customFormat="false" ht="15" hidden="false" customHeight="false" outlineLevel="0" collapsed="false">
      <c r="A146" s="25" t="s">
        <v>51</v>
      </c>
      <c r="B146" s="11" t="n">
        <f aca="false">COUNTIF(Responses!$J$2:$J$1000,4)</f>
        <v>0</v>
      </c>
      <c r="C146" s="13" t="str">
        <f aca="false">IF($B$148=0,"",B146/$B$148)</f>
        <v/>
      </c>
    </row>
    <row r="147" customFormat="false" ht="15" hidden="false" customHeight="false" outlineLevel="0" collapsed="false">
      <c r="A147" s="25" t="s">
        <v>148</v>
      </c>
      <c r="B147" s="11" t="n">
        <f aca="false">COUNTIF(Responses!$J$2:$J$1000,5)</f>
        <v>0</v>
      </c>
      <c r="C147" s="13" t="str">
        <f aca="false">IF($B$148=0,"",B147/$B$148)</f>
        <v/>
      </c>
    </row>
    <row r="148" customFormat="false" ht="15" hidden="false" customHeight="false" outlineLevel="0" collapsed="false">
      <c r="A148" s="26" t="s">
        <v>104</v>
      </c>
      <c r="B148" s="27" t="n">
        <f aca="false">COUNT(Responses!$J$2:$J$1000)</f>
        <v>0</v>
      </c>
    </row>
    <row r="149" customFormat="false" ht="15" hidden="false" customHeight="false" outlineLevel="0" collapsed="false">
      <c r="A149" s="26" t="s">
        <v>149</v>
      </c>
      <c r="B149" s="35" t="str">
        <f aca="false">IFERROR(AVERAGE(Responses!$J$2:$J$1000),"")</f>
        <v/>
      </c>
    </row>
    <row r="150" customFormat="false" ht="15" hidden="false" customHeight="false" outlineLevel="0" collapsed="false">
      <c r="A150" s="25" t="s">
        <v>105</v>
      </c>
      <c r="B150" s="11" t="n">
        <f aca="false">Start_Here!$C$22</f>
        <v>0</v>
      </c>
    </row>
    <row r="151" customFormat="false" ht="15" hidden="false" customHeight="false" outlineLevel="0" collapsed="false">
      <c r="A151" s="26" t="s">
        <v>106</v>
      </c>
      <c r="B151" s="28" t="str">
        <f aca="false">IF(B150=0,"",B148/B150)</f>
        <v/>
      </c>
    </row>
    <row r="158" customFormat="false" ht="48" hidden="false" customHeight="true" outlineLevel="0" collapsed="false">
      <c r="A158" s="31" t="s">
        <v>108</v>
      </c>
      <c r="B158" s="32"/>
      <c r="C158" s="32"/>
      <c r="D158" s="32"/>
      <c r="E158" s="32"/>
      <c r="F158" s="32"/>
      <c r="G158" s="32"/>
    </row>
    <row r="160" customFormat="false" ht="31.5" hidden="false" customHeight="true" outlineLevel="0" collapsed="false">
      <c r="A160" s="22" t="s">
        <v>87</v>
      </c>
      <c r="B160" s="4"/>
      <c r="C160" s="4"/>
      <c r="D160" s="4"/>
      <c r="E160" s="4"/>
      <c r="F160" s="4"/>
      <c r="G160" s="4"/>
    </row>
    <row r="161" customFormat="false" ht="15" hidden="false" customHeight="false" outlineLevel="0" collapsed="false">
      <c r="A161" s="23" t="s">
        <v>97</v>
      </c>
    </row>
    <row r="162" customFormat="false" ht="23.85" hidden="false" customHeight="false" outlineLevel="0" collapsed="false">
      <c r="A162" s="24" t="s">
        <v>98</v>
      </c>
      <c r="B162" s="24" t="s">
        <v>99</v>
      </c>
      <c r="C162" s="24" t="s">
        <v>100</v>
      </c>
    </row>
    <row r="163" customFormat="false" ht="15" hidden="false" customHeight="false" outlineLevel="0" collapsed="false">
      <c r="A163" s="25" t="s">
        <v>150</v>
      </c>
      <c r="B163" s="11" t="n">
        <f aca="false">COUNTIF(Responses!$K$2:$K$1000,A163)</f>
        <v>0</v>
      </c>
      <c r="C163" s="13" t="str">
        <f aca="false">IF($B$167=0,"",B163/$B$167)</f>
        <v/>
      </c>
    </row>
    <row r="164" customFormat="false" ht="15" hidden="false" customHeight="false" outlineLevel="0" collapsed="false">
      <c r="A164" s="25" t="s">
        <v>54</v>
      </c>
      <c r="B164" s="11" t="n">
        <f aca="false">COUNTIF(Responses!$K$2:$K$1000,A164)</f>
        <v>0</v>
      </c>
      <c r="C164" s="13" t="str">
        <f aca="false">IF($B$167=0,"",B164/$B$167)</f>
        <v/>
      </c>
    </row>
    <row r="165" customFormat="false" ht="15" hidden="false" customHeight="false" outlineLevel="0" collapsed="false">
      <c r="A165" s="25" t="s">
        <v>151</v>
      </c>
      <c r="B165" s="11" t="n">
        <f aca="false">COUNTIF(Responses!$K$2:$K$1000,A165)</f>
        <v>0</v>
      </c>
      <c r="C165" s="13" t="str">
        <f aca="false">IF($B$167=0,"",B165/$B$167)</f>
        <v/>
      </c>
    </row>
    <row r="166" customFormat="false" ht="15" hidden="false" customHeight="false" outlineLevel="0" collapsed="false">
      <c r="A166" s="25" t="s">
        <v>152</v>
      </c>
      <c r="B166" s="11" t="n">
        <f aca="false">COUNTIF(Responses!$K$2:$K$1000,A166)</f>
        <v>0</v>
      </c>
      <c r="C166" s="13" t="str">
        <f aca="false">IF($B$167=0,"",B166/$B$167)</f>
        <v/>
      </c>
    </row>
    <row r="167" customFormat="false" ht="15" hidden="false" customHeight="false" outlineLevel="0" collapsed="false">
      <c r="A167" s="26" t="s">
        <v>104</v>
      </c>
      <c r="B167" s="27" t="n">
        <f aca="false">COUNTA(Responses!$K$2:$K$1000)</f>
        <v>0</v>
      </c>
    </row>
    <row r="168" customFormat="false" ht="15" hidden="false" customHeight="false" outlineLevel="0" collapsed="false">
      <c r="A168" s="25" t="s">
        <v>105</v>
      </c>
      <c r="B168" s="11" t="n">
        <f aca="false">Start_Here!$C$19</f>
        <v>0</v>
      </c>
    </row>
    <row r="169" customFormat="false" ht="15" hidden="false" customHeight="false" outlineLevel="0" collapsed="false">
      <c r="A169" s="26" t="s">
        <v>106</v>
      </c>
      <c r="B169" s="28" t="str">
        <f aca="false">IF(B168=0,"",B167/B168)</f>
        <v/>
      </c>
    </row>
    <row r="170" customFormat="false" ht="15" hidden="false" customHeight="false" outlineLevel="0" collapsed="false">
      <c r="A170" s="29" t="s">
        <v>107</v>
      </c>
      <c r="B170" s="30" t="n">
        <f aca="false">B167-SUM(B163:B166)</f>
        <v>0</v>
      </c>
    </row>
    <row r="178" customFormat="false" ht="48" hidden="false" customHeight="true" outlineLevel="0" collapsed="false">
      <c r="A178" s="31" t="s">
        <v>108</v>
      </c>
      <c r="B178" s="32"/>
      <c r="C178" s="32"/>
      <c r="D178" s="32"/>
      <c r="E178" s="32"/>
      <c r="F178" s="32"/>
      <c r="G178" s="32"/>
    </row>
    <row r="180" customFormat="false" ht="31.5" hidden="false" customHeight="true" outlineLevel="0" collapsed="false">
      <c r="A180" s="22" t="s">
        <v>88</v>
      </c>
      <c r="B180" s="4"/>
      <c r="C180" s="4"/>
      <c r="D180" s="4"/>
      <c r="E180" s="4"/>
      <c r="F180" s="4"/>
      <c r="G180" s="4"/>
    </row>
    <row r="181" customFormat="false" ht="15" hidden="false" customHeight="false" outlineLevel="0" collapsed="false">
      <c r="A181" s="23" t="s">
        <v>97</v>
      </c>
    </row>
    <row r="182" customFormat="false" ht="23.85" hidden="false" customHeight="false" outlineLevel="0" collapsed="false">
      <c r="A182" s="24" t="s">
        <v>98</v>
      </c>
      <c r="B182" s="24" t="s">
        <v>99</v>
      </c>
      <c r="C182" s="24" t="s">
        <v>100</v>
      </c>
    </row>
    <row r="183" customFormat="false" ht="15" hidden="false" customHeight="false" outlineLevel="0" collapsed="false">
      <c r="A183" s="25" t="s">
        <v>153</v>
      </c>
      <c r="B183" s="11" t="n">
        <f aca="false">COUNTIF(Responses!$L$2:$L$1000,A183)</f>
        <v>0</v>
      </c>
      <c r="C183" s="13" t="str">
        <f aca="false">IF($B$188=0,"",B183/$B$188)</f>
        <v/>
      </c>
    </row>
    <row r="184" customFormat="false" ht="15" hidden="false" customHeight="false" outlineLevel="0" collapsed="false">
      <c r="A184" s="25" t="s">
        <v>56</v>
      </c>
      <c r="B184" s="11" t="n">
        <f aca="false">COUNTIF(Responses!$L$2:$L$1000,A184)</f>
        <v>0</v>
      </c>
      <c r="C184" s="13" t="str">
        <f aca="false">IF($B$188=0,"",B184/$B$188)</f>
        <v/>
      </c>
    </row>
    <row r="185" customFormat="false" ht="15" hidden="false" customHeight="false" outlineLevel="0" collapsed="false">
      <c r="A185" s="25" t="s">
        <v>154</v>
      </c>
      <c r="B185" s="11" t="n">
        <f aca="false">COUNTIF(Responses!$L$2:$L$1000,A185)</f>
        <v>0</v>
      </c>
      <c r="C185" s="13" t="str">
        <f aca="false">IF($B$188=0,"",B185/$B$188)</f>
        <v/>
      </c>
    </row>
    <row r="186" customFormat="false" ht="15" hidden="false" customHeight="false" outlineLevel="0" collapsed="false">
      <c r="A186" s="25" t="s">
        <v>155</v>
      </c>
      <c r="B186" s="11" t="n">
        <f aca="false">COUNTIF(Responses!$L$2:$L$1000,A186)</f>
        <v>0</v>
      </c>
      <c r="C186" s="13" t="str">
        <f aca="false">IF($B$188=0,"",B186/$B$188)</f>
        <v/>
      </c>
    </row>
    <row r="187" customFormat="false" ht="15" hidden="false" customHeight="false" outlineLevel="0" collapsed="false">
      <c r="A187" s="25" t="s">
        <v>156</v>
      </c>
      <c r="B187" s="11" t="n">
        <f aca="false">COUNTIF(Responses!$L$2:$L$1000,A187)</f>
        <v>0</v>
      </c>
      <c r="C187" s="13" t="str">
        <f aca="false">IF($B$188=0,"",B187/$B$188)</f>
        <v/>
      </c>
    </row>
    <row r="188" customFormat="false" ht="15" hidden="false" customHeight="false" outlineLevel="0" collapsed="false">
      <c r="A188" s="26" t="s">
        <v>104</v>
      </c>
      <c r="B188" s="27" t="n">
        <f aca="false">COUNTA(Responses!$L$2:$L$1000)</f>
        <v>0</v>
      </c>
    </row>
    <row r="189" customFormat="false" ht="15" hidden="false" customHeight="false" outlineLevel="0" collapsed="false">
      <c r="A189" s="25" t="s">
        <v>105</v>
      </c>
      <c r="B189" s="11" t="n">
        <f aca="false">Start_Here!$C$19</f>
        <v>0</v>
      </c>
    </row>
    <row r="190" customFormat="false" ht="15" hidden="false" customHeight="false" outlineLevel="0" collapsed="false">
      <c r="A190" s="26" t="s">
        <v>106</v>
      </c>
      <c r="B190" s="28" t="str">
        <f aca="false">IF(B189=0,"",B188/B189)</f>
        <v/>
      </c>
    </row>
    <row r="191" customFormat="false" ht="15" hidden="false" customHeight="false" outlineLevel="0" collapsed="false">
      <c r="A191" s="29" t="s">
        <v>107</v>
      </c>
      <c r="B191" s="30" t="n">
        <f aca="false">B188-SUM(B183:B187)</f>
        <v>0</v>
      </c>
    </row>
    <row r="198" customFormat="false" ht="48" hidden="false" customHeight="true" outlineLevel="0" collapsed="false">
      <c r="A198" s="31" t="s">
        <v>108</v>
      </c>
      <c r="B198" s="32"/>
      <c r="C198" s="32"/>
      <c r="D198" s="32"/>
      <c r="E198" s="32"/>
      <c r="F198" s="32"/>
      <c r="G198" s="32"/>
    </row>
    <row r="200" customFormat="false" ht="31.5" hidden="false" customHeight="true" outlineLevel="0" collapsed="false">
      <c r="A200" s="22" t="s">
        <v>89</v>
      </c>
      <c r="B200" s="4"/>
      <c r="C200" s="4"/>
      <c r="D200" s="4"/>
      <c r="E200" s="4"/>
      <c r="F200" s="4"/>
      <c r="G200" s="4"/>
    </row>
    <row r="201" customFormat="false" ht="15" hidden="false" customHeight="false" outlineLevel="0" collapsed="false">
      <c r="A201" s="23" t="s">
        <v>157</v>
      </c>
    </row>
    <row r="202" customFormat="false" ht="23.85" hidden="false" customHeight="false" outlineLevel="0" collapsed="false">
      <c r="A202" s="24" t="s">
        <v>98</v>
      </c>
      <c r="B202" s="24" t="s">
        <v>99</v>
      </c>
      <c r="C202" s="24" t="s">
        <v>100</v>
      </c>
    </row>
    <row r="203" customFormat="false" ht="15" hidden="false" customHeight="false" outlineLevel="0" collapsed="false">
      <c r="A203" s="25" t="s">
        <v>158</v>
      </c>
      <c r="B203" s="11" t="n">
        <f aca="false">COUNTIF(Responses!$M$2:$M$1000,"*"&amp;A203&amp;"*")</f>
        <v>0</v>
      </c>
      <c r="C203" s="13" t="str">
        <f aca="false">IF($B$210=0,"",B203/$B$210)</f>
        <v/>
      </c>
    </row>
    <row r="204" customFormat="false" ht="15" hidden="false" customHeight="false" outlineLevel="0" collapsed="false">
      <c r="A204" s="25" t="s">
        <v>159</v>
      </c>
      <c r="B204" s="11" t="n">
        <f aca="false">COUNTIF(Responses!$M$2:$M$1000,"*"&amp;A204&amp;"*")</f>
        <v>0</v>
      </c>
      <c r="C204" s="13" t="str">
        <f aca="false">IF($B$210=0,"",B204/$B$210)</f>
        <v/>
      </c>
    </row>
    <row r="205" customFormat="false" ht="15" hidden="false" customHeight="false" outlineLevel="0" collapsed="false">
      <c r="A205" s="25" t="s">
        <v>160</v>
      </c>
      <c r="B205" s="11" t="n">
        <f aca="false">COUNTIF(Responses!$M$2:$M$1000,"*"&amp;A205&amp;"*")</f>
        <v>0</v>
      </c>
      <c r="C205" s="13" t="str">
        <f aca="false">IF($B$210=0,"",B205/$B$210)</f>
        <v/>
      </c>
    </row>
    <row r="206" customFormat="false" ht="15" hidden="false" customHeight="false" outlineLevel="0" collapsed="false">
      <c r="A206" s="25" t="s">
        <v>161</v>
      </c>
      <c r="B206" s="11" t="n">
        <f aca="false">COUNTIF(Responses!$M$2:$M$1000,"*"&amp;A206&amp;"*")</f>
        <v>0</v>
      </c>
      <c r="C206" s="13" t="str">
        <f aca="false">IF($B$210=0,"",B206/$B$210)</f>
        <v/>
      </c>
    </row>
    <row r="207" customFormat="false" ht="15" hidden="false" customHeight="false" outlineLevel="0" collapsed="false">
      <c r="A207" s="25" t="s">
        <v>162</v>
      </c>
      <c r="B207" s="11" t="n">
        <f aca="false">COUNTIF(Responses!$M$2:$M$1000,"*"&amp;A207&amp;"*")</f>
        <v>0</v>
      </c>
      <c r="C207" s="13" t="str">
        <f aca="false">IF($B$210=0,"",B207/$B$210)</f>
        <v/>
      </c>
    </row>
    <row r="208" customFormat="false" ht="15" hidden="false" customHeight="false" outlineLevel="0" collapsed="false">
      <c r="A208" s="25" t="s">
        <v>163</v>
      </c>
      <c r="B208" s="11" t="n">
        <f aca="false">COUNTIF(Responses!$M$2:$M$1000,"*"&amp;A208&amp;"*")</f>
        <v>0</v>
      </c>
      <c r="C208" s="13" t="str">
        <f aca="false">IF($B$210=0,"",B208/$B$210)</f>
        <v/>
      </c>
    </row>
    <row r="209" customFormat="false" ht="15" hidden="false" customHeight="false" outlineLevel="0" collapsed="false">
      <c r="A209" s="25" t="s">
        <v>164</v>
      </c>
      <c r="B209" s="11" t="n">
        <f aca="false">COUNTIF(Responses!$M$2:$M$1000,"*"&amp;A209&amp;"*")</f>
        <v>0</v>
      </c>
      <c r="C209" s="13" t="str">
        <f aca="false">IF($B$210=0,"",B209/$B$210)</f>
        <v/>
      </c>
    </row>
    <row r="210" customFormat="false" ht="15" hidden="false" customHeight="false" outlineLevel="0" collapsed="false">
      <c r="A210" s="26" t="s">
        <v>104</v>
      </c>
      <c r="B210" s="27" t="n">
        <f aca="false">COUNTA(Responses!$M$2:$M$1000)</f>
        <v>0</v>
      </c>
    </row>
    <row r="211" customFormat="false" ht="15" hidden="false" customHeight="false" outlineLevel="0" collapsed="false">
      <c r="A211" s="25" t="s">
        <v>105</v>
      </c>
      <c r="B211" s="11" t="n">
        <f aca="false">Start_Here!$C$19</f>
        <v>0</v>
      </c>
    </row>
    <row r="212" customFormat="false" ht="15" hidden="false" customHeight="false" outlineLevel="0" collapsed="false">
      <c r="A212" s="26" t="s">
        <v>106</v>
      </c>
      <c r="B212" s="28" t="str">
        <f aca="false">IF(B211=0,"",B210/B211)</f>
        <v/>
      </c>
    </row>
    <row r="213" customFormat="false" ht="15" hidden="false" customHeight="false" outlineLevel="0" collapsed="false">
      <c r="A213" s="23" t="s">
        <v>165</v>
      </c>
    </row>
    <row r="218" customFormat="false" ht="48" hidden="false" customHeight="true" outlineLevel="0" collapsed="false">
      <c r="A218" s="31" t="s">
        <v>108</v>
      </c>
      <c r="B218" s="32"/>
      <c r="C218" s="32"/>
      <c r="D218" s="32"/>
      <c r="E218" s="32"/>
      <c r="F218" s="32"/>
      <c r="G218" s="32"/>
    </row>
    <row r="220" customFormat="false" ht="31.5" hidden="false" customHeight="true" outlineLevel="0" collapsed="false">
      <c r="A220" s="22" t="s">
        <v>90</v>
      </c>
      <c r="B220" s="4"/>
      <c r="C220" s="4"/>
      <c r="D220" s="4"/>
      <c r="E220" s="4"/>
      <c r="F220" s="4"/>
      <c r="G220" s="4"/>
    </row>
    <row r="221" customFormat="false" ht="15" hidden="false" customHeight="false" outlineLevel="0" collapsed="false">
      <c r="A221" s="23" t="s">
        <v>166</v>
      </c>
    </row>
    <row r="222" customFormat="false" ht="23.85" hidden="false" customHeight="false" outlineLevel="0" collapsed="false">
      <c r="A222" s="24" t="s">
        <v>145</v>
      </c>
      <c r="B222" s="24" t="s">
        <v>99</v>
      </c>
      <c r="C222" s="24" t="s">
        <v>100</v>
      </c>
    </row>
    <row r="223" customFormat="false" ht="15" hidden="false" customHeight="false" outlineLevel="0" collapsed="false">
      <c r="A223" s="25" t="s">
        <v>167</v>
      </c>
      <c r="B223" s="11" t="n">
        <f aca="false">COUNTIF(Responses!$N$2:$N$1000,1)</f>
        <v>0</v>
      </c>
      <c r="C223" s="13" t="str">
        <f aca="false">IF($B$228=0,"",B223/$B$228)</f>
        <v/>
      </c>
    </row>
    <row r="224" customFormat="false" ht="15" hidden="false" customHeight="false" outlineLevel="0" collapsed="false">
      <c r="A224" s="25" t="s">
        <v>147</v>
      </c>
      <c r="B224" s="11" t="n">
        <f aca="false">COUNTIF(Responses!$N$2:$N$1000,2)</f>
        <v>0</v>
      </c>
      <c r="C224" s="13" t="str">
        <f aca="false">IF($B$228=0,"",B224/$B$228)</f>
        <v/>
      </c>
    </row>
    <row r="225" customFormat="false" ht="15" hidden="false" customHeight="false" outlineLevel="0" collapsed="false">
      <c r="A225" s="25" t="s">
        <v>60</v>
      </c>
      <c r="B225" s="11" t="n">
        <f aca="false">COUNTIF(Responses!$N$2:$N$1000,3)</f>
        <v>0</v>
      </c>
      <c r="C225" s="13" t="str">
        <f aca="false">IF($B$228=0,"",B225/$B$228)</f>
        <v/>
      </c>
    </row>
    <row r="226" customFormat="false" ht="15" hidden="false" customHeight="false" outlineLevel="0" collapsed="false">
      <c r="A226" s="25" t="s">
        <v>51</v>
      </c>
      <c r="B226" s="11" t="n">
        <f aca="false">COUNTIF(Responses!$N$2:$N$1000,4)</f>
        <v>0</v>
      </c>
      <c r="C226" s="13" t="str">
        <f aca="false">IF($B$228=0,"",B226/$B$228)</f>
        <v/>
      </c>
    </row>
    <row r="227" customFormat="false" ht="15" hidden="false" customHeight="false" outlineLevel="0" collapsed="false">
      <c r="A227" s="25" t="s">
        <v>168</v>
      </c>
      <c r="B227" s="11" t="n">
        <f aca="false">COUNTIF(Responses!$N$2:$N$1000,5)</f>
        <v>0</v>
      </c>
      <c r="C227" s="13" t="str">
        <f aca="false">IF($B$228=0,"",B227/$B$228)</f>
        <v/>
      </c>
    </row>
    <row r="228" customFormat="false" ht="15" hidden="false" customHeight="false" outlineLevel="0" collapsed="false">
      <c r="A228" s="26" t="s">
        <v>104</v>
      </c>
      <c r="B228" s="27" t="n">
        <f aca="false">COUNT(Responses!$N$2:$N$1000)</f>
        <v>0</v>
      </c>
    </row>
    <row r="229" customFormat="false" ht="15" hidden="false" customHeight="false" outlineLevel="0" collapsed="false">
      <c r="A229" s="26" t="s">
        <v>149</v>
      </c>
      <c r="B229" s="35" t="str">
        <f aca="false">IFERROR(AVERAGE(Responses!$N$2:$N$1000),"")</f>
        <v/>
      </c>
    </row>
    <row r="230" customFormat="false" ht="15" hidden="false" customHeight="false" outlineLevel="0" collapsed="false">
      <c r="A230" s="25" t="s">
        <v>105</v>
      </c>
      <c r="B230" s="11" t="n">
        <f aca="false">Start_Here!$C$19</f>
        <v>0</v>
      </c>
    </row>
    <row r="231" customFormat="false" ht="15" hidden="false" customHeight="false" outlineLevel="0" collapsed="false">
      <c r="A231" s="26" t="s">
        <v>106</v>
      </c>
      <c r="B231" s="28" t="str">
        <f aca="false">IF(B230=0,"",B228/B230)</f>
        <v/>
      </c>
    </row>
    <row r="238" customFormat="false" ht="48" hidden="false" customHeight="true" outlineLevel="0" collapsed="false">
      <c r="A238" s="31" t="s">
        <v>108</v>
      </c>
      <c r="B238" s="32"/>
      <c r="C238" s="32"/>
      <c r="D238" s="32"/>
      <c r="E238" s="32"/>
      <c r="F238" s="32"/>
      <c r="G238" s="32"/>
    </row>
    <row r="240" customFormat="false" ht="31.5" hidden="false" customHeight="true" outlineLevel="0" collapsed="false">
      <c r="A240" s="22" t="s">
        <v>91</v>
      </c>
      <c r="B240" s="4"/>
      <c r="C240" s="4"/>
      <c r="D240" s="4"/>
      <c r="E240" s="4"/>
      <c r="F240" s="4"/>
      <c r="G240" s="4"/>
    </row>
    <row r="241" customFormat="false" ht="15" hidden="false" customHeight="false" outlineLevel="0" collapsed="false">
      <c r="A241" s="23" t="s">
        <v>97</v>
      </c>
    </row>
    <row r="242" customFormat="false" ht="23.85" hidden="false" customHeight="false" outlineLevel="0" collapsed="false">
      <c r="A242" s="24" t="s">
        <v>98</v>
      </c>
      <c r="B242" s="24" t="s">
        <v>99</v>
      </c>
      <c r="C242" s="24" t="s">
        <v>100</v>
      </c>
    </row>
    <row r="243" customFormat="false" ht="15" hidden="false" customHeight="false" outlineLevel="0" collapsed="false">
      <c r="A243" s="25" t="s">
        <v>169</v>
      </c>
      <c r="B243" s="11" t="n">
        <f aca="false">COUNTIF(Responses!$O$2:$O$1000,A243)</f>
        <v>0</v>
      </c>
      <c r="C243" s="13" t="str">
        <f aca="false">IF($B$248=0,"",B243/$B$248)</f>
        <v/>
      </c>
    </row>
    <row r="244" customFormat="false" ht="15" hidden="false" customHeight="false" outlineLevel="0" collapsed="false">
      <c r="A244" s="25" t="s">
        <v>62</v>
      </c>
      <c r="B244" s="11" t="n">
        <f aca="false">COUNTIF(Responses!$O$2:$O$1000,A244)</f>
        <v>0</v>
      </c>
      <c r="C244" s="13" t="str">
        <f aca="false">IF($B$248=0,"",B244/$B$248)</f>
        <v/>
      </c>
    </row>
    <row r="245" customFormat="false" ht="15" hidden="false" customHeight="false" outlineLevel="0" collapsed="false">
      <c r="A245" s="25" t="s">
        <v>170</v>
      </c>
      <c r="B245" s="11" t="n">
        <f aca="false">COUNTIF(Responses!$O$2:$O$1000,A245)</f>
        <v>0</v>
      </c>
      <c r="C245" s="13" t="str">
        <f aca="false">IF($B$248=0,"",B245/$B$248)</f>
        <v/>
      </c>
    </row>
    <row r="246" customFormat="false" ht="15" hidden="false" customHeight="false" outlineLevel="0" collapsed="false">
      <c r="A246" s="25" t="s">
        <v>171</v>
      </c>
      <c r="B246" s="11" t="n">
        <f aca="false">COUNTIF(Responses!$O$2:$O$1000,A246)</f>
        <v>0</v>
      </c>
      <c r="C246" s="13" t="str">
        <f aca="false">IF($B$248=0,"",B246/$B$248)</f>
        <v/>
      </c>
    </row>
    <row r="247" customFormat="false" ht="15" hidden="false" customHeight="false" outlineLevel="0" collapsed="false">
      <c r="A247" s="25" t="s">
        <v>172</v>
      </c>
      <c r="B247" s="11" t="n">
        <f aca="false">COUNTIF(Responses!$O$2:$O$1000,A247)</f>
        <v>0</v>
      </c>
      <c r="C247" s="13" t="str">
        <f aca="false">IF($B$248=0,"",B247/$B$248)</f>
        <v/>
      </c>
    </row>
    <row r="248" customFormat="false" ht="15" hidden="false" customHeight="false" outlineLevel="0" collapsed="false">
      <c r="A248" s="26" t="s">
        <v>104</v>
      </c>
      <c r="B248" s="27" t="n">
        <f aca="false">COUNTA(Responses!$O$2:$O$1000)</f>
        <v>0</v>
      </c>
    </row>
    <row r="249" customFormat="false" ht="15" hidden="false" customHeight="false" outlineLevel="0" collapsed="false">
      <c r="A249" s="25" t="s">
        <v>105</v>
      </c>
      <c r="B249" s="11" t="n">
        <f aca="false">Start_Here!$C$19</f>
        <v>0</v>
      </c>
    </row>
    <row r="250" customFormat="false" ht="15" hidden="false" customHeight="false" outlineLevel="0" collapsed="false">
      <c r="A250" s="26" t="s">
        <v>106</v>
      </c>
      <c r="B250" s="28" t="str">
        <f aca="false">IF(B249=0,"",B248/B249)</f>
        <v/>
      </c>
    </row>
    <row r="251" customFormat="false" ht="15" hidden="false" customHeight="false" outlineLevel="0" collapsed="false">
      <c r="A251" s="29" t="s">
        <v>107</v>
      </c>
      <c r="B251" s="30" t="n">
        <f aca="false">B248-SUM(B243:B247)</f>
        <v>0</v>
      </c>
    </row>
    <row r="258" customFormat="false" ht="48" hidden="false" customHeight="true" outlineLevel="0" collapsed="false">
      <c r="A258" s="31" t="s">
        <v>108</v>
      </c>
      <c r="B258" s="32"/>
      <c r="C258" s="32"/>
      <c r="D258" s="32"/>
      <c r="E258" s="32"/>
      <c r="F258" s="32"/>
      <c r="G258" s="32"/>
    </row>
    <row r="260" customFormat="false" ht="31.5" hidden="false" customHeight="true" outlineLevel="0" collapsed="false">
      <c r="A260" s="22" t="s">
        <v>92</v>
      </c>
      <c r="B260" s="4"/>
      <c r="C260" s="4"/>
      <c r="D260" s="4"/>
      <c r="E260" s="4"/>
      <c r="F260" s="4"/>
      <c r="G260" s="4"/>
    </row>
    <row r="261" customFormat="false" ht="15" hidden="false" customHeight="false" outlineLevel="0" collapsed="false">
      <c r="A261" s="23" t="s">
        <v>97</v>
      </c>
    </row>
    <row r="262" customFormat="false" ht="23.85" hidden="false" customHeight="false" outlineLevel="0" collapsed="false">
      <c r="A262" s="24" t="s">
        <v>98</v>
      </c>
      <c r="B262" s="24" t="s">
        <v>99</v>
      </c>
      <c r="C262" s="24" t="s">
        <v>100</v>
      </c>
    </row>
    <row r="263" customFormat="false" ht="15" hidden="false" customHeight="false" outlineLevel="0" collapsed="false">
      <c r="A263" s="25" t="s">
        <v>173</v>
      </c>
      <c r="B263" s="11" t="n">
        <f aca="false">COUNTIF(Responses!$P$2:$P$1000,A263)</f>
        <v>0</v>
      </c>
      <c r="C263" s="13" t="str">
        <f aca="false">IF($B$268=0,"",B263/$B$268)</f>
        <v/>
      </c>
    </row>
    <row r="264" customFormat="false" ht="15" hidden="false" customHeight="false" outlineLevel="0" collapsed="false">
      <c r="A264" s="25" t="s">
        <v>64</v>
      </c>
      <c r="B264" s="11" t="n">
        <f aca="false">COUNTIF(Responses!$P$2:$P$1000,A264)</f>
        <v>0</v>
      </c>
      <c r="C264" s="13" t="str">
        <f aca="false">IF($B$268=0,"",B264/$B$268)</f>
        <v/>
      </c>
    </row>
    <row r="265" customFormat="false" ht="15" hidden="false" customHeight="false" outlineLevel="0" collapsed="false">
      <c r="A265" s="25" t="s">
        <v>174</v>
      </c>
      <c r="B265" s="11" t="n">
        <f aca="false">COUNTIF(Responses!$P$2:$P$1000,A265)</f>
        <v>0</v>
      </c>
      <c r="C265" s="13" t="str">
        <f aca="false">IF($B$268=0,"",B265/$B$268)</f>
        <v/>
      </c>
    </row>
    <row r="266" customFormat="false" ht="15" hidden="false" customHeight="false" outlineLevel="0" collapsed="false">
      <c r="A266" s="25" t="s">
        <v>175</v>
      </c>
      <c r="B266" s="11" t="n">
        <f aca="false">COUNTIF(Responses!$P$2:$P$1000,A266)</f>
        <v>0</v>
      </c>
      <c r="C266" s="13" t="str">
        <f aca="false">IF($B$268=0,"",B266/$B$268)</f>
        <v/>
      </c>
    </row>
    <row r="267" customFormat="false" ht="15" hidden="false" customHeight="false" outlineLevel="0" collapsed="false">
      <c r="A267" s="25" t="s">
        <v>176</v>
      </c>
      <c r="B267" s="11" t="n">
        <f aca="false">COUNTIF(Responses!$P$2:$P$1000,A267)</f>
        <v>0</v>
      </c>
      <c r="C267" s="13" t="str">
        <f aca="false">IF($B$268=0,"",B267/$B$268)</f>
        <v/>
      </c>
    </row>
    <row r="268" customFormat="false" ht="15" hidden="false" customHeight="false" outlineLevel="0" collapsed="false">
      <c r="A268" s="26" t="s">
        <v>104</v>
      </c>
      <c r="B268" s="27" t="n">
        <f aca="false">COUNTA(Responses!$P$2:$P$1000)</f>
        <v>0</v>
      </c>
    </row>
    <row r="269" customFormat="false" ht="15" hidden="false" customHeight="false" outlineLevel="0" collapsed="false">
      <c r="A269" s="25" t="s">
        <v>105</v>
      </c>
      <c r="B269" s="11" t="n">
        <f aca="false">Start_Here!$C$19</f>
        <v>0</v>
      </c>
    </row>
    <row r="270" customFormat="false" ht="15" hidden="false" customHeight="false" outlineLevel="0" collapsed="false">
      <c r="A270" s="26" t="s">
        <v>106</v>
      </c>
      <c r="B270" s="28" t="str">
        <f aca="false">IF(B269=0,"",B268/B269)</f>
        <v/>
      </c>
    </row>
    <row r="271" customFormat="false" ht="15" hidden="false" customHeight="false" outlineLevel="0" collapsed="false">
      <c r="A271" s="29" t="s">
        <v>107</v>
      </c>
      <c r="B271" s="30" t="n">
        <f aca="false">B268-SUM(B263:B267)</f>
        <v>0</v>
      </c>
    </row>
    <row r="278" customFormat="false" ht="48" hidden="false" customHeight="true" outlineLevel="0" collapsed="false">
      <c r="A278" s="31" t="s">
        <v>108</v>
      </c>
      <c r="B278" s="32"/>
      <c r="C278" s="32"/>
      <c r="D278" s="32"/>
      <c r="E278" s="32"/>
      <c r="F278" s="32"/>
      <c r="G278" s="32"/>
    </row>
    <row r="280" customFormat="false" ht="31.5" hidden="false" customHeight="true" outlineLevel="0" collapsed="false">
      <c r="A280" s="22" t="s">
        <v>93</v>
      </c>
      <c r="B280" s="4"/>
      <c r="C280" s="4"/>
      <c r="D280" s="4"/>
      <c r="E280" s="4"/>
      <c r="F280" s="4"/>
      <c r="G280" s="4"/>
    </row>
    <row r="281" customFormat="false" ht="15" hidden="false" customHeight="false" outlineLevel="0" collapsed="false">
      <c r="A281" s="23" t="s">
        <v>177</v>
      </c>
    </row>
    <row r="282" customFormat="false" ht="15" hidden="false" customHeight="false" outlineLevel="0" collapsed="false">
      <c r="A282" s="26" t="s">
        <v>104</v>
      </c>
      <c r="B282" s="27" t="n">
        <f aca="false">COUNTA(Responses!$Q$2:$Q$1000)</f>
        <v>0</v>
      </c>
    </row>
    <row r="283" customFormat="false" ht="15" hidden="false" customHeight="false" outlineLevel="0" collapsed="false">
      <c r="A283" s="25" t="s">
        <v>105</v>
      </c>
      <c r="B283" s="11" t="n">
        <f aca="false">Start_Here!$C$19</f>
        <v>0</v>
      </c>
    </row>
    <row r="284" customFormat="false" ht="15" hidden="false" customHeight="false" outlineLevel="0" collapsed="false">
      <c r="A284" s="26" t="s">
        <v>106</v>
      </c>
      <c r="B284" s="28" t="str">
        <f aca="false">IF(B283=0,"",B282/B283)</f>
        <v/>
      </c>
    </row>
    <row r="286" customFormat="false" ht="39.75" hidden="false" customHeight="true" outlineLevel="0" collapsed="false">
      <c r="A286" s="36" t="s">
        <v>178</v>
      </c>
      <c r="B286" s="24" t="s">
        <v>99</v>
      </c>
      <c r="C286" s="24" t="s">
        <v>100</v>
      </c>
    </row>
    <row r="287" customFormat="false" ht="15" hidden="false" customHeight="false" outlineLevel="0" collapsed="false">
      <c r="A287" s="37"/>
      <c r="B287" s="7"/>
      <c r="C287" s="13" t="str">
        <f aca="false">IF(OR(B287="",$B$282=0),"",B287/$B$282)</f>
        <v/>
      </c>
    </row>
    <row r="288" customFormat="false" ht="15" hidden="false" customHeight="false" outlineLevel="0" collapsed="false">
      <c r="A288" s="37"/>
      <c r="B288" s="7"/>
      <c r="C288" s="13" t="str">
        <f aca="false">IF(OR(B288="",$B$282=0),"",B288/$B$282)</f>
        <v/>
      </c>
    </row>
    <row r="289" customFormat="false" ht="15" hidden="false" customHeight="false" outlineLevel="0" collapsed="false">
      <c r="A289" s="37"/>
      <c r="B289" s="7"/>
      <c r="C289" s="13" t="str">
        <f aca="false">IF(OR(B289="",$B$282=0),"",B289/$B$282)</f>
        <v/>
      </c>
    </row>
    <row r="290" customFormat="false" ht="15" hidden="false" customHeight="false" outlineLevel="0" collapsed="false">
      <c r="A290" s="37"/>
      <c r="B290" s="7"/>
      <c r="C290" s="13" t="str">
        <f aca="false">IF(OR(B290="",$B$282=0),"",B290/$B$282)</f>
        <v/>
      </c>
    </row>
    <row r="291" customFormat="false" ht="15" hidden="false" customHeight="false" outlineLevel="0" collapsed="false">
      <c r="A291" s="37"/>
      <c r="B291" s="7"/>
      <c r="C291" s="13" t="str">
        <f aca="false">IF(OR(B291="",$B$282=0),"",B291/$B$282)</f>
        <v/>
      </c>
    </row>
    <row r="292" customFormat="false" ht="15" hidden="false" customHeight="false" outlineLevel="0" collapsed="false">
      <c r="A292" s="37"/>
      <c r="B292" s="7"/>
      <c r="C292" s="13" t="str">
        <f aca="false">IF(OR(B292="",$B$282=0),"",B292/$B$282)</f>
        <v/>
      </c>
    </row>
    <row r="294" customFormat="false" ht="48" hidden="false" customHeight="true" outlineLevel="0" collapsed="false">
      <c r="A294" s="31" t="s">
        <v>108</v>
      </c>
      <c r="B294" s="32"/>
      <c r="C294" s="32"/>
      <c r="D294" s="32"/>
      <c r="E294" s="32"/>
      <c r="F294" s="32"/>
      <c r="G294" s="32"/>
    </row>
  </sheetData>
  <mergeCells count="14">
    <mergeCell ref="B23:G23"/>
    <mergeCell ref="B43:G43"/>
    <mergeCell ref="B63:G63"/>
    <mergeCell ref="B83:G83"/>
    <mergeCell ref="B103:G103"/>
    <mergeCell ref="B138:G138"/>
    <mergeCell ref="B158:G158"/>
    <mergeCell ref="B178:G178"/>
    <mergeCell ref="B198:G198"/>
    <mergeCell ref="B218:G218"/>
    <mergeCell ref="B238:G238"/>
    <mergeCell ref="B258:G258"/>
    <mergeCell ref="B278:G278"/>
    <mergeCell ref="B294:G29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1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6" min="2" style="0" width="11"/>
    <col collapsed="false" customWidth="true" hidden="false" outlineLevel="0" max="7" min="7" style="0" width="3"/>
    <col collapsed="false" customWidth="true" hidden="false" outlineLevel="0" max="12" min="8" style="0" width="11"/>
    <col collapsed="false" customWidth="true" hidden="false" outlineLevel="0" max="13" min="13" style="0" width="13"/>
    <col collapsed="false" customWidth="true" hidden="true" outlineLevel="0" max="17" min="14" style="0" width="9"/>
  </cols>
  <sheetData>
    <row r="1" customFormat="false" ht="19.7" hidden="false" customHeight="false" outlineLevel="0" collapsed="false">
      <c r="A1" s="1" t="s">
        <v>179</v>
      </c>
    </row>
    <row r="2" customFormat="false" ht="15" hidden="false" customHeight="false" outlineLevel="0" collapsed="false">
      <c r="A2" s="2" t="s">
        <v>180</v>
      </c>
    </row>
    <row r="4" customFormat="false" ht="15" hidden="false" customHeight="false" outlineLevel="0" collapsed="false">
      <c r="A4" s="38" t="s">
        <v>181</v>
      </c>
      <c r="B4" s="39" t="s">
        <v>182</v>
      </c>
      <c r="C4" s="39" t="s">
        <v>183</v>
      </c>
      <c r="D4" s="39" t="s">
        <v>184</v>
      </c>
    </row>
    <row r="5" customFormat="false" ht="15" hidden="false" customHeight="false" outlineLevel="0" collapsed="false">
      <c r="A5" s="25" t="s">
        <v>101</v>
      </c>
      <c r="B5" s="11" t="n">
        <f aca="false">COUNTIF(Responses!$B$2:$B$1000,A5)</f>
        <v>0</v>
      </c>
      <c r="C5" s="13" t="str">
        <f aca="false">IF(Start_Here!$C$19=0,"",B5/Start_Here!$C$19)</f>
        <v/>
      </c>
      <c r="D5" s="40" t="str">
        <f aca="false">IF(B5&lt;Start_Here!$C$15,"small n","")</f>
        <v>small n</v>
      </c>
    </row>
    <row r="6" customFormat="false" ht="15" hidden="false" customHeight="false" outlineLevel="0" collapsed="false">
      <c r="A6" s="25" t="s">
        <v>34</v>
      </c>
      <c r="B6" s="11" t="n">
        <f aca="false">COUNTIF(Responses!$B$2:$B$1000,A6)</f>
        <v>0</v>
      </c>
      <c r="C6" s="13" t="str">
        <f aca="false">IF(Start_Here!$C$19=0,"",B6/Start_Here!$C$19)</f>
        <v/>
      </c>
      <c r="D6" s="40" t="str">
        <f aca="false">IF(B6&lt;Start_Here!$C$15,"small n","")</f>
        <v>small n</v>
      </c>
    </row>
    <row r="7" customFormat="false" ht="15" hidden="false" customHeight="false" outlineLevel="0" collapsed="false">
      <c r="A7" s="25" t="s">
        <v>102</v>
      </c>
      <c r="B7" s="11" t="n">
        <f aca="false">COUNTIF(Responses!$B$2:$B$1000,A7)</f>
        <v>0</v>
      </c>
      <c r="C7" s="13" t="str">
        <f aca="false">IF(Start_Here!$C$19=0,"",B7/Start_Here!$C$19)</f>
        <v/>
      </c>
      <c r="D7" s="40" t="str">
        <f aca="false">IF(B7&lt;Start_Here!$C$15,"small n","")</f>
        <v>small n</v>
      </c>
    </row>
    <row r="8" customFormat="false" ht="15" hidden="false" customHeight="false" outlineLevel="0" collapsed="false">
      <c r="A8" s="25" t="s">
        <v>103</v>
      </c>
      <c r="B8" s="11" t="n">
        <f aca="false">COUNTIF(Responses!$B$2:$B$1000,A8)</f>
        <v>0</v>
      </c>
      <c r="C8" s="13" t="str">
        <f aca="false">IF(Start_Here!$C$19=0,"",B8/Start_Here!$C$19)</f>
        <v/>
      </c>
      <c r="D8" s="40" t="str">
        <f aca="false">IF(B8&lt;Start_Here!$C$15,"small n","")</f>
        <v>small n</v>
      </c>
    </row>
    <row r="10" customFormat="false" ht="15" hidden="false" customHeight="false" outlineLevel="0" collapsed="false">
      <c r="A10" s="41" t="s">
        <v>185</v>
      </c>
    </row>
    <row r="11" customFormat="false" ht="15" hidden="false" customHeight="false" outlineLevel="0" collapsed="false">
      <c r="A11" s="38" t="s">
        <v>186</v>
      </c>
      <c r="B11" s="39" t="s">
        <v>187</v>
      </c>
      <c r="C11" s="39" t="s">
        <v>188</v>
      </c>
      <c r="D11" s="42" t="s">
        <v>189</v>
      </c>
      <c r="E11" s="42"/>
      <c r="F11" s="42"/>
      <c r="G11" s="42"/>
      <c r="H11" s="42" t="s">
        <v>190</v>
      </c>
      <c r="I11" s="42"/>
      <c r="J11" s="42"/>
      <c r="K11" s="42"/>
      <c r="L11" s="43" t="s">
        <v>191</v>
      </c>
      <c r="M11" s="4"/>
    </row>
    <row r="12" customFormat="false" ht="25.5" hidden="false" customHeight="true" outlineLevel="0" collapsed="false">
      <c r="A12" s="44" t="str">
        <f aca="false">IF(L12="","",INDEX($A$21:$A$147,L12))</f>
        <v/>
      </c>
      <c r="B12" s="12" t="str">
        <f aca="false">IF(L12="","",INDEX($N$21:$N$147,L12))</f>
        <v/>
      </c>
      <c r="C12" s="45" t="str">
        <f aca="false">IF(L12="","",INDEX($M$21:$M$147,L12))</f>
        <v/>
      </c>
      <c r="D12" s="25" t="str">
        <f aca="false">IF(L12="","",INDEX($P$21:$P$147,L12))</f>
        <v/>
      </c>
      <c r="E12" s="25"/>
      <c r="F12" s="25"/>
      <c r="G12" s="25"/>
      <c r="H12" s="25" t="str">
        <f aca="false">IF(L12="","",INDEX($Q$21:$Q$147,L12))</f>
        <v/>
      </c>
      <c r="I12" s="25"/>
      <c r="J12" s="25"/>
      <c r="K12" s="25"/>
      <c r="L12" s="46" t="str">
        <f aca="false">IFERROR(MATCH(LARGE($O$21:$O$147,1),$O$21:$O$147,0),"")</f>
        <v/>
      </c>
    </row>
    <row r="13" customFormat="false" ht="25.5" hidden="false" customHeight="true" outlineLevel="0" collapsed="false">
      <c r="A13" s="44" t="str">
        <f aca="false">IF(L13="","",INDEX($A$21:$A$147,L13))</f>
        <v/>
      </c>
      <c r="B13" s="12" t="str">
        <f aca="false">IF(L13="","",INDEX($N$21:$N$147,L13))</f>
        <v/>
      </c>
      <c r="C13" s="45" t="str">
        <f aca="false">IF(L13="","",INDEX($M$21:$M$147,L13))</f>
        <v/>
      </c>
      <c r="D13" s="25" t="str">
        <f aca="false">IF(L13="","",INDEX($P$21:$P$147,L13))</f>
        <v/>
      </c>
      <c r="E13" s="25"/>
      <c r="F13" s="25"/>
      <c r="G13" s="25"/>
      <c r="H13" s="25" t="str">
        <f aca="false">IF(L13="","",INDEX($Q$21:$Q$147,L13))</f>
        <v/>
      </c>
      <c r="I13" s="25"/>
      <c r="J13" s="25"/>
      <c r="K13" s="25"/>
      <c r="L13" s="46" t="str">
        <f aca="false">IFERROR(MATCH(LARGE($O$21:$O$147,2),$O$21:$O$147,0),"")</f>
        <v/>
      </c>
    </row>
    <row r="14" customFormat="false" ht="25.5" hidden="false" customHeight="true" outlineLevel="0" collapsed="false">
      <c r="A14" s="44" t="str">
        <f aca="false">IF(L14="","",INDEX($A$21:$A$147,L14))</f>
        <v/>
      </c>
      <c r="B14" s="12" t="str">
        <f aca="false">IF(L14="","",INDEX($N$21:$N$147,L14))</f>
        <v/>
      </c>
      <c r="C14" s="45" t="str">
        <f aca="false">IF(L14="","",INDEX($M$21:$M$147,L14))</f>
        <v/>
      </c>
      <c r="D14" s="25" t="str">
        <f aca="false">IF(L14="","",INDEX($P$21:$P$147,L14))</f>
        <v/>
      </c>
      <c r="E14" s="25"/>
      <c r="F14" s="25"/>
      <c r="G14" s="25"/>
      <c r="H14" s="25" t="str">
        <f aca="false">IF(L14="","",INDEX($Q$21:$Q$147,L14))</f>
        <v/>
      </c>
      <c r="I14" s="25"/>
      <c r="J14" s="25"/>
      <c r="K14" s="25"/>
      <c r="L14" s="46" t="str">
        <f aca="false">IFERROR(MATCH(LARGE($O$21:$O$147,3),$O$21:$O$147,0),"")</f>
        <v/>
      </c>
    </row>
    <row r="15" customFormat="false" ht="25.5" hidden="false" customHeight="true" outlineLevel="0" collapsed="false">
      <c r="A15" s="44" t="str">
        <f aca="false">IF(L15="","",INDEX($A$21:$A$147,L15))</f>
        <v/>
      </c>
      <c r="B15" s="12" t="str">
        <f aca="false">IF(L15="","",INDEX($N$21:$N$147,L15))</f>
        <v/>
      </c>
      <c r="C15" s="45" t="str">
        <f aca="false">IF(L15="","",INDEX($M$21:$M$147,L15))</f>
        <v/>
      </c>
      <c r="D15" s="25" t="str">
        <f aca="false">IF(L15="","",INDEX($P$21:$P$147,L15))</f>
        <v/>
      </c>
      <c r="E15" s="25"/>
      <c r="F15" s="25"/>
      <c r="G15" s="25"/>
      <c r="H15" s="25" t="str">
        <f aca="false">IF(L15="","",INDEX($Q$21:$Q$147,L15))</f>
        <v/>
      </c>
      <c r="I15" s="25"/>
      <c r="J15" s="25"/>
      <c r="K15" s="25"/>
      <c r="L15" s="46" t="str">
        <f aca="false">IFERROR(MATCH(LARGE($O$21:$O$147,4),$O$21:$O$147,0),"")</f>
        <v/>
      </c>
    </row>
    <row r="16" customFormat="false" ht="25.5" hidden="false" customHeight="true" outlineLevel="0" collapsed="false">
      <c r="A16" s="44" t="str">
        <f aca="false">IF(L16="","",INDEX($A$21:$A$147,L16))</f>
        <v/>
      </c>
      <c r="B16" s="12" t="str">
        <f aca="false">IF(L16="","",INDEX($N$21:$N$147,L16))</f>
        <v/>
      </c>
      <c r="C16" s="45" t="str">
        <f aca="false">IF(L16="","",INDEX($M$21:$M$147,L16))</f>
        <v/>
      </c>
      <c r="D16" s="25" t="str">
        <f aca="false">IF(L16="","",INDEX($P$21:$P$147,L16))</f>
        <v/>
      </c>
      <c r="E16" s="25"/>
      <c r="F16" s="25"/>
      <c r="G16" s="25"/>
      <c r="H16" s="25" t="str">
        <f aca="false">IF(L16="","",INDEX($Q$21:$Q$147,L16))</f>
        <v/>
      </c>
      <c r="I16" s="25"/>
      <c r="J16" s="25"/>
      <c r="K16" s="25"/>
      <c r="L16" s="46" t="str">
        <f aca="false">IFERROR(MATCH(LARGE($O$21:$O$147,5),$O$21:$O$147,0),"")</f>
        <v/>
      </c>
    </row>
    <row r="17" customFormat="false" ht="15" hidden="false" customHeight="false" outlineLevel="0" collapsed="false">
      <c r="A17" s="47" t="s">
        <v>192</v>
      </c>
    </row>
    <row r="18" customFormat="false" ht="15" hidden="false" customHeight="false" outlineLevel="0" collapsed="false">
      <c r="A18" s="23" t="s">
        <v>193</v>
      </c>
    </row>
    <row r="21" customFormat="false" ht="31.5" hidden="false" customHeight="true" outlineLevel="0" collapsed="false">
      <c r="A21" s="22" t="s">
        <v>79</v>
      </c>
      <c r="B21" s="4"/>
      <c r="C21" s="4"/>
      <c r="D21" s="4"/>
      <c r="E21" s="4"/>
      <c r="F21" s="4"/>
      <c r="G21" s="4"/>
      <c r="H21" s="4"/>
      <c r="I21" s="4"/>
      <c r="J21" s="4"/>
      <c r="K21" s="4"/>
      <c r="L21" s="4"/>
      <c r="M21" s="4"/>
    </row>
    <row r="22" customFormat="false" ht="23.85" hidden="false" customHeight="true" outlineLevel="0" collapsed="false">
      <c r="A22" s="23" t="s">
        <v>194</v>
      </c>
      <c r="B22" s="48" t="s">
        <v>99</v>
      </c>
      <c r="C22" s="48"/>
      <c r="D22" s="48"/>
      <c r="E22" s="48"/>
      <c r="F22" s="48"/>
      <c r="H22" s="48" t="s">
        <v>195</v>
      </c>
      <c r="I22" s="48"/>
      <c r="J22" s="48"/>
      <c r="K22" s="48"/>
      <c r="L22" s="48"/>
      <c r="M22" s="49" t="s">
        <v>196</v>
      </c>
    </row>
    <row r="23" customFormat="false" ht="37.5" hidden="false" customHeight="true" outlineLevel="0" collapsed="false">
      <c r="A23" s="50"/>
      <c r="B23" s="33" t="str">
        <f aca="false">$A$5</f>
        <v>18 to 24</v>
      </c>
      <c r="C23" s="33" t="str">
        <f aca="false">$A$6</f>
        <v>25 to 34</v>
      </c>
      <c r="D23" s="33" t="str">
        <f aca="false">$A$7</f>
        <v>35 to 44</v>
      </c>
      <c r="E23" s="33" t="str">
        <f aca="false">$A$8</f>
        <v>45 or older</v>
      </c>
      <c r="F23" s="33" t="s">
        <v>197</v>
      </c>
      <c r="H23" s="33" t="str">
        <f aca="false">$A$5</f>
        <v>18 to 24</v>
      </c>
      <c r="I23" s="33" t="str">
        <f aca="false">$A$6</f>
        <v>25 to 34</v>
      </c>
      <c r="J23" s="33" t="str">
        <f aca="false">$A$7</f>
        <v>35 to 44</v>
      </c>
      <c r="K23" s="33" t="str">
        <f aca="false">$A$8</f>
        <v>45 or older</v>
      </c>
      <c r="L23" s="33" t="s">
        <v>197</v>
      </c>
    </row>
    <row r="24" customFormat="false" ht="15" hidden="false" customHeight="false" outlineLevel="0" collapsed="false">
      <c r="A24" s="26" t="s">
        <v>198</v>
      </c>
      <c r="B24" s="27" t="n">
        <f aca="false">COUNTIFS(Responses!$B$2:$B$1000,$A$5,Responses!$C$2:$C$1000,"&lt;&gt;")</f>
        <v>0</v>
      </c>
      <c r="C24" s="27" t="n">
        <f aca="false">COUNTIFS(Responses!$B$2:$B$1000,$A$6,Responses!$C$2:$C$1000,"&lt;&gt;")</f>
        <v>0</v>
      </c>
      <c r="D24" s="27" t="n">
        <f aca="false">COUNTIFS(Responses!$B$2:$B$1000,$A$7,Responses!$C$2:$C$1000,"&lt;&gt;")</f>
        <v>0</v>
      </c>
      <c r="E24" s="27" t="n">
        <f aca="false">COUNTIFS(Responses!$B$2:$B$1000,$A$8,Responses!$C$2:$C$1000,"&lt;&gt;")</f>
        <v>0</v>
      </c>
      <c r="F24" s="27" t="n">
        <f aca="false">COUNTA(Responses!$C$2:$C$1000)</f>
        <v>0</v>
      </c>
    </row>
    <row r="25" customFormat="false" ht="15" hidden="false" customHeight="false" outlineLevel="0" collapsed="false">
      <c r="A25" s="25" t="s">
        <v>109</v>
      </c>
      <c r="B25" s="11" t="n">
        <f aca="false">COUNTIFS(Responses!$C$2:$C$1000,$A25,Responses!$B$2:$B$1000,$A$5)</f>
        <v>0</v>
      </c>
      <c r="C25" s="11" t="n">
        <f aca="false">COUNTIFS(Responses!$C$2:$C$1000,$A25,Responses!$B$2:$B$1000,$A$6)</f>
        <v>0</v>
      </c>
      <c r="D25" s="11" t="n">
        <f aca="false">COUNTIFS(Responses!$C$2:$C$1000,$A25,Responses!$B$2:$B$1000,$A$7)</f>
        <v>0</v>
      </c>
      <c r="E25" s="11" t="n">
        <f aca="false">COUNTIFS(Responses!$C$2:$C$1000,$A25,Responses!$B$2:$B$1000,$A$8)</f>
        <v>0</v>
      </c>
      <c r="F25" s="11" t="n">
        <f aca="false">COUNTIF(Responses!$C$2:$C$1000,$A25)</f>
        <v>0</v>
      </c>
      <c r="H25" s="51" t="str">
        <f aca="false">IF(B$24=0,"",B25/B$24)</f>
        <v/>
      </c>
      <c r="I25" s="51" t="str">
        <f aca="false">IF(C$24=0,"",C25/C$24)</f>
        <v/>
      </c>
      <c r="J25" s="51" t="str">
        <f aca="false">IF(D$24=0,"",D25/D$24)</f>
        <v/>
      </c>
      <c r="K25" s="51" t="str">
        <f aca="false">IF(E$24=0,"",E25/E$24)</f>
        <v/>
      </c>
      <c r="L25" s="51" t="str">
        <f aca="false">IF(F$24=0,"",F25/F$24)</f>
        <v/>
      </c>
      <c r="M25" s="13" t="str">
        <f aca="false">IF(COUNT(H25:K25)&lt;2,"",MAX(H25:K25)-MIN(H25:K25))</f>
        <v/>
      </c>
      <c r="N25" s="52" t="s">
        <v>199</v>
      </c>
      <c r="O25" s="53" t="str">
        <f aca="false">IF(M25="","",M25+ROW()/1000000000)</f>
        <v/>
      </c>
      <c r="P25" s="52" t="str">
        <f aca="false">IF(M25="","",INDEX($A$5:$A$8,MATCH(MAX(H25:K25),H25:K25,0)))</f>
        <v/>
      </c>
      <c r="Q25" s="52" t="str">
        <f aca="false">IF(M25="","",INDEX($A$5:$A$8,MATCH(MIN(H25:K25),H25:K25,0)))</f>
        <v/>
      </c>
    </row>
    <row r="26" customFormat="false" ht="15" hidden="false" customHeight="false" outlineLevel="0" collapsed="false">
      <c r="A26" s="25" t="s">
        <v>37</v>
      </c>
      <c r="B26" s="11" t="n">
        <f aca="false">COUNTIFS(Responses!$C$2:$C$1000,$A26,Responses!$B$2:$B$1000,$A$5)</f>
        <v>0</v>
      </c>
      <c r="C26" s="11" t="n">
        <f aca="false">COUNTIFS(Responses!$C$2:$C$1000,$A26,Responses!$B$2:$B$1000,$A$6)</f>
        <v>0</v>
      </c>
      <c r="D26" s="11" t="n">
        <f aca="false">COUNTIFS(Responses!$C$2:$C$1000,$A26,Responses!$B$2:$B$1000,$A$7)</f>
        <v>0</v>
      </c>
      <c r="E26" s="11" t="n">
        <f aca="false">COUNTIFS(Responses!$C$2:$C$1000,$A26,Responses!$B$2:$B$1000,$A$8)</f>
        <v>0</v>
      </c>
      <c r="F26" s="11" t="n">
        <f aca="false">COUNTIF(Responses!$C$2:$C$1000,$A26)</f>
        <v>0</v>
      </c>
      <c r="H26" s="51" t="str">
        <f aca="false">IF(B$24=0,"",B26/B$24)</f>
        <v/>
      </c>
      <c r="I26" s="51" t="str">
        <f aca="false">IF(C$24=0,"",C26/C$24)</f>
        <v/>
      </c>
      <c r="J26" s="51" t="str">
        <f aca="false">IF(D$24=0,"",D26/D$24)</f>
        <v/>
      </c>
      <c r="K26" s="51" t="str">
        <f aca="false">IF(E$24=0,"",E26/E$24)</f>
        <v/>
      </c>
      <c r="L26" s="51" t="str">
        <f aca="false">IF(F$24=0,"",F26/F$24)</f>
        <v/>
      </c>
      <c r="M26" s="13" t="str">
        <f aca="false">IF(COUNT(H26:K26)&lt;2,"",MAX(H26:K26)-MIN(H26:K26))</f>
        <v/>
      </c>
      <c r="N26" s="52" t="s">
        <v>199</v>
      </c>
      <c r="O26" s="53" t="str">
        <f aca="false">IF(M26="","",M26+ROW()/1000000000)</f>
        <v/>
      </c>
      <c r="P26" s="52" t="str">
        <f aca="false">IF(M26="","",INDEX($A$5:$A$8,MATCH(MAX(H26:K26),H26:K26,0)))</f>
        <v/>
      </c>
      <c r="Q26" s="52" t="str">
        <f aca="false">IF(M26="","",INDEX($A$5:$A$8,MATCH(MIN(H26:K26),H26:K26,0)))</f>
        <v/>
      </c>
    </row>
    <row r="27" customFormat="false" ht="15" hidden="false" customHeight="false" outlineLevel="0" collapsed="false">
      <c r="A27" s="25" t="s">
        <v>110</v>
      </c>
      <c r="B27" s="11" t="n">
        <f aca="false">COUNTIFS(Responses!$C$2:$C$1000,$A27,Responses!$B$2:$B$1000,$A$5)</f>
        <v>0</v>
      </c>
      <c r="C27" s="11" t="n">
        <f aca="false">COUNTIFS(Responses!$C$2:$C$1000,$A27,Responses!$B$2:$B$1000,$A$6)</f>
        <v>0</v>
      </c>
      <c r="D27" s="11" t="n">
        <f aca="false">COUNTIFS(Responses!$C$2:$C$1000,$A27,Responses!$B$2:$B$1000,$A$7)</f>
        <v>0</v>
      </c>
      <c r="E27" s="11" t="n">
        <f aca="false">COUNTIFS(Responses!$C$2:$C$1000,$A27,Responses!$B$2:$B$1000,$A$8)</f>
        <v>0</v>
      </c>
      <c r="F27" s="11" t="n">
        <f aca="false">COUNTIF(Responses!$C$2:$C$1000,$A27)</f>
        <v>0</v>
      </c>
      <c r="H27" s="51" t="str">
        <f aca="false">IF(B$24=0,"",B27/B$24)</f>
        <v/>
      </c>
      <c r="I27" s="51" t="str">
        <f aca="false">IF(C$24=0,"",C27/C$24)</f>
        <v/>
      </c>
      <c r="J27" s="51" t="str">
        <f aca="false">IF(D$24=0,"",D27/D$24)</f>
        <v/>
      </c>
      <c r="K27" s="51" t="str">
        <f aca="false">IF(E$24=0,"",E27/E$24)</f>
        <v/>
      </c>
      <c r="L27" s="51" t="str">
        <f aca="false">IF(F$24=0,"",F27/F$24)</f>
        <v/>
      </c>
      <c r="M27" s="13" t="str">
        <f aca="false">IF(COUNT(H27:K27)&lt;2,"",MAX(H27:K27)-MIN(H27:K27))</f>
        <v/>
      </c>
      <c r="N27" s="52" t="s">
        <v>199</v>
      </c>
      <c r="O27" s="53" t="str">
        <f aca="false">IF(M27="","",M27+ROW()/1000000000)</f>
        <v/>
      </c>
      <c r="P27" s="52" t="str">
        <f aca="false">IF(M27="","",INDEX($A$5:$A$8,MATCH(MAX(H27:K27),H27:K27,0)))</f>
        <v/>
      </c>
      <c r="Q27" s="52" t="str">
        <f aca="false">IF(M27="","",INDEX($A$5:$A$8,MATCH(MIN(H27:K27),H27:K27,0)))</f>
        <v/>
      </c>
    </row>
    <row r="28" customFormat="false" ht="15" hidden="false" customHeight="false" outlineLevel="0" collapsed="false">
      <c r="A28" s="25" t="s">
        <v>111</v>
      </c>
      <c r="B28" s="11" t="n">
        <f aca="false">COUNTIFS(Responses!$C$2:$C$1000,$A28,Responses!$B$2:$B$1000,$A$5)</f>
        <v>0</v>
      </c>
      <c r="C28" s="11" t="n">
        <f aca="false">COUNTIFS(Responses!$C$2:$C$1000,$A28,Responses!$B$2:$B$1000,$A$6)</f>
        <v>0</v>
      </c>
      <c r="D28" s="11" t="n">
        <f aca="false">COUNTIFS(Responses!$C$2:$C$1000,$A28,Responses!$B$2:$B$1000,$A$7)</f>
        <v>0</v>
      </c>
      <c r="E28" s="11" t="n">
        <f aca="false">COUNTIFS(Responses!$C$2:$C$1000,$A28,Responses!$B$2:$B$1000,$A$8)</f>
        <v>0</v>
      </c>
      <c r="F28" s="11" t="n">
        <f aca="false">COUNTIF(Responses!$C$2:$C$1000,$A28)</f>
        <v>0</v>
      </c>
      <c r="H28" s="51" t="str">
        <f aca="false">IF(B$24=0,"",B28/B$24)</f>
        <v/>
      </c>
      <c r="I28" s="51" t="str">
        <f aca="false">IF(C$24=0,"",C28/C$24)</f>
        <v/>
      </c>
      <c r="J28" s="51" t="str">
        <f aca="false">IF(D$24=0,"",D28/D$24)</f>
        <v/>
      </c>
      <c r="K28" s="51" t="str">
        <f aca="false">IF(E$24=0,"",E28/E$24)</f>
        <v/>
      </c>
      <c r="L28" s="51" t="str">
        <f aca="false">IF(F$24=0,"",F28/F$24)</f>
        <v/>
      </c>
      <c r="M28" s="13" t="str">
        <f aca="false">IF(COUNT(H28:K28)&lt;2,"",MAX(H28:K28)-MIN(H28:K28))</f>
        <v/>
      </c>
      <c r="N28" s="52" t="s">
        <v>199</v>
      </c>
      <c r="O28" s="53" t="str">
        <f aca="false">IF(M28="","",M28+ROW()/1000000000)</f>
        <v/>
      </c>
      <c r="P28" s="52" t="str">
        <f aca="false">IF(M28="","",INDEX($A$5:$A$8,MATCH(MAX(H28:K28),H28:K28,0)))</f>
        <v/>
      </c>
      <c r="Q28" s="52" t="str">
        <f aca="false">IF(M28="","",INDEX($A$5:$A$8,MATCH(MIN(H28:K28),H28:K28,0)))</f>
        <v/>
      </c>
    </row>
    <row r="31" customFormat="false" ht="31.5" hidden="false" customHeight="true" outlineLevel="0" collapsed="false">
      <c r="A31" s="22" t="s">
        <v>80</v>
      </c>
      <c r="B31" s="4"/>
      <c r="C31" s="4"/>
      <c r="D31" s="4"/>
      <c r="E31" s="4"/>
      <c r="F31" s="4"/>
      <c r="G31" s="4"/>
      <c r="H31" s="4"/>
      <c r="I31" s="4"/>
      <c r="J31" s="4"/>
      <c r="K31" s="4"/>
      <c r="L31" s="4"/>
      <c r="M31" s="4"/>
    </row>
    <row r="32" customFormat="false" ht="23.85" hidden="false" customHeight="true" outlineLevel="0" collapsed="false">
      <c r="A32" s="23" t="s">
        <v>194</v>
      </c>
      <c r="B32" s="48" t="s">
        <v>99</v>
      </c>
      <c r="C32" s="48"/>
      <c r="D32" s="48"/>
      <c r="E32" s="48"/>
      <c r="F32" s="48"/>
      <c r="H32" s="48" t="s">
        <v>195</v>
      </c>
      <c r="I32" s="48"/>
      <c r="J32" s="48"/>
      <c r="K32" s="48"/>
      <c r="L32" s="48"/>
      <c r="M32" s="49" t="s">
        <v>196</v>
      </c>
    </row>
    <row r="33" customFormat="false" ht="37.5" hidden="false" customHeight="true" outlineLevel="0" collapsed="false">
      <c r="A33" s="50"/>
      <c r="B33" s="33" t="str">
        <f aca="false">$A$5</f>
        <v>18 to 24</v>
      </c>
      <c r="C33" s="33" t="str">
        <f aca="false">$A$6</f>
        <v>25 to 34</v>
      </c>
      <c r="D33" s="33" t="str">
        <f aca="false">$A$7</f>
        <v>35 to 44</v>
      </c>
      <c r="E33" s="33" t="str">
        <f aca="false">$A$8</f>
        <v>45 or older</v>
      </c>
      <c r="F33" s="33" t="s">
        <v>197</v>
      </c>
      <c r="H33" s="33" t="str">
        <f aca="false">$A$5</f>
        <v>18 to 24</v>
      </c>
      <c r="I33" s="33" t="str">
        <f aca="false">$A$6</f>
        <v>25 to 34</v>
      </c>
      <c r="J33" s="33" t="str">
        <f aca="false">$A$7</f>
        <v>35 to 44</v>
      </c>
      <c r="K33" s="33" t="str">
        <f aca="false">$A$8</f>
        <v>45 or older</v>
      </c>
      <c r="L33" s="33" t="s">
        <v>197</v>
      </c>
    </row>
    <row r="34" customFormat="false" ht="15" hidden="false" customHeight="false" outlineLevel="0" collapsed="false">
      <c r="A34" s="26" t="s">
        <v>198</v>
      </c>
      <c r="B34" s="27" t="n">
        <f aca="false">COUNTIFS(Responses!$B$2:$B$1000,$A$5,Responses!$D$2:$D$1000,"&lt;&gt;")</f>
        <v>0</v>
      </c>
      <c r="C34" s="27" t="n">
        <f aca="false">COUNTIFS(Responses!$B$2:$B$1000,$A$6,Responses!$D$2:$D$1000,"&lt;&gt;")</f>
        <v>0</v>
      </c>
      <c r="D34" s="27" t="n">
        <f aca="false">COUNTIFS(Responses!$B$2:$B$1000,$A$7,Responses!$D$2:$D$1000,"&lt;&gt;")</f>
        <v>0</v>
      </c>
      <c r="E34" s="27" t="n">
        <f aca="false">COUNTIFS(Responses!$B$2:$B$1000,$A$8,Responses!$D$2:$D$1000,"&lt;&gt;")</f>
        <v>0</v>
      </c>
      <c r="F34" s="27" t="n">
        <f aca="false">COUNTA(Responses!$D$2:$D$1000)</f>
        <v>0</v>
      </c>
    </row>
    <row r="35" customFormat="false" ht="15" hidden="false" customHeight="false" outlineLevel="0" collapsed="false">
      <c r="A35" s="25" t="s">
        <v>112</v>
      </c>
      <c r="B35" s="11" t="n">
        <f aca="false">COUNTIFS(Responses!$D$2:$D$1000,$A35,Responses!$B$2:$B$1000,$A$5)</f>
        <v>0</v>
      </c>
      <c r="C35" s="11" t="n">
        <f aca="false">COUNTIFS(Responses!$D$2:$D$1000,$A35,Responses!$B$2:$B$1000,$A$6)</f>
        <v>0</v>
      </c>
      <c r="D35" s="11" t="n">
        <f aca="false">COUNTIFS(Responses!$D$2:$D$1000,$A35,Responses!$B$2:$B$1000,$A$7)</f>
        <v>0</v>
      </c>
      <c r="E35" s="11" t="n">
        <f aca="false">COUNTIFS(Responses!$D$2:$D$1000,$A35,Responses!$B$2:$B$1000,$A$8)</f>
        <v>0</v>
      </c>
      <c r="F35" s="11" t="n">
        <f aca="false">COUNTIF(Responses!$D$2:$D$1000,$A35)</f>
        <v>0</v>
      </c>
      <c r="H35" s="51" t="str">
        <f aca="false">IF(B$34=0,"",B35/B$34)</f>
        <v/>
      </c>
      <c r="I35" s="51" t="str">
        <f aca="false">IF(C$34=0,"",C35/C$34)</f>
        <v/>
      </c>
      <c r="J35" s="51" t="str">
        <f aca="false">IF(D$34=0,"",D35/D$34)</f>
        <v/>
      </c>
      <c r="K35" s="51" t="str">
        <f aca="false">IF(E$34=0,"",E35/E$34)</f>
        <v/>
      </c>
      <c r="L35" s="51" t="str">
        <f aca="false">IF(F$34=0,"",F35/F$34)</f>
        <v/>
      </c>
      <c r="M35" s="13" t="str">
        <f aca="false">IF(COUNT(H35:K35)&lt;2,"",MAX(H35:K35)-MIN(H35:K35))</f>
        <v/>
      </c>
      <c r="N35" s="52" t="s">
        <v>200</v>
      </c>
      <c r="O35" s="53" t="str">
        <f aca="false">IF(M35="","",M35+ROW()/1000000000)</f>
        <v/>
      </c>
      <c r="P35" s="52" t="str">
        <f aca="false">IF(M35="","",INDEX($A$5:$A$8,MATCH(MAX(H35:K35),H35:K35,0)))</f>
        <v/>
      </c>
      <c r="Q35" s="52" t="str">
        <f aca="false">IF(M35="","",INDEX($A$5:$A$8,MATCH(MIN(H35:K35),H35:K35,0)))</f>
        <v/>
      </c>
    </row>
    <row r="36" customFormat="false" ht="15" hidden="false" customHeight="false" outlineLevel="0" collapsed="false">
      <c r="A36" s="25" t="s">
        <v>113</v>
      </c>
      <c r="B36" s="11" t="n">
        <f aca="false">COUNTIFS(Responses!$D$2:$D$1000,$A36,Responses!$B$2:$B$1000,$A$5)</f>
        <v>0</v>
      </c>
      <c r="C36" s="11" t="n">
        <f aca="false">COUNTIFS(Responses!$D$2:$D$1000,$A36,Responses!$B$2:$B$1000,$A$6)</f>
        <v>0</v>
      </c>
      <c r="D36" s="11" t="n">
        <f aca="false">COUNTIFS(Responses!$D$2:$D$1000,$A36,Responses!$B$2:$B$1000,$A$7)</f>
        <v>0</v>
      </c>
      <c r="E36" s="11" t="n">
        <f aca="false">COUNTIFS(Responses!$D$2:$D$1000,$A36,Responses!$B$2:$B$1000,$A$8)</f>
        <v>0</v>
      </c>
      <c r="F36" s="11" t="n">
        <f aca="false">COUNTIF(Responses!$D$2:$D$1000,$A36)</f>
        <v>0</v>
      </c>
      <c r="H36" s="51" t="str">
        <f aca="false">IF(B$34=0,"",B36/B$34)</f>
        <v/>
      </c>
      <c r="I36" s="51" t="str">
        <f aca="false">IF(C$34=0,"",C36/C$34)</f>
        <v/>
      </c>
      <c r="J36" s="51" t="str">
        <f aca="false">IF(D$34=0,"",D36/D$34)</f>
        <v/>
      </c>
      <c r="K36" s="51" t="str">
        <f aca="false">IF(E$34=0,"",E36/E$34)</f>
        <v/>
      </c>
      <c r="L36" s="51" t="str">
        <f aca="false">IF(F$34=0,"",F36/F$34)</f>
        <v/>
      </c>
      <c r="M36" s="13" t="str">
        <f aca="false">IF(COUNT(H36:K36)&lt;2,"",MAX(H36:K36)-MIN(H36:K36))</f>
        <v/>
      </c>
      <c r="N36" s="52" t="s">
        <v>200</v>
      </c>
      <c r="O36" s="53" t="str">
        <f aca="false">IF(M36="","",M36+ROW()/1000000000)</f>
        <v/>
      </c>
      <c r="P36" s="52" t="str">
        <f aca="false">IF(M36="","",INDEX($A$5:$A$8,MATCH(MAX(H36:K36),H36:K36,0)))</f>
        <v/>
      </c>
      <c r="Q36" s="52" t="str">
        <f aca="false">IF(M36="","",INDEX($A$5:$A$8,MATCH(MIN(H36:K36),H36:K36,0)))</f>
        <v/>
      </c>
    </row>
    <row r="37" customFormat="false" ht="15" hidden="false" customHeight="false" outlineLevel="0" collapsed="false">
      <c r="A37" s="25" t="s">
        <v>114</v>
      </c>
      <c r="B37" s="11" t="n">
        <f aca="false">COUNTIFS(Responses!$D$2:$D$1000,$A37,Responses!$B$2:$B$1000,$A$5)</f>
        <v>0</v>
      </c>
      <c r="C37" s="11" t="n">
        <f aca="false">COUNTIFS(Responses!$D$2:$D$1000,$A37,Responses!$B$2:$B$1000,$A$6)</f>
        <v>0</v>
      </c>
      <c r="D37" s="11" t="n">
        <f aca="false">COUNTIFS(Responses!$D$2:$D$1000,$A37,Responses!$B$2:$B$1000,$A$7)</f>
        <v>0</v>
      </c>
      <c r="E37" s="11" t="n">
        <f aca="false">COUNTIFS(Responses!$D$2:$D$1000,$A37,Responses!$B$2:$B$1000,$A$8)</f>
        <v>0</v>
      </c>
      <c r="F37" s="11" t="n">
        <f aca="false">COUNTIF(Responses!$D$2:$D$1000,$A37)</f>
        <v>0</v>
      </c>
      <c r="H37" s="51" t="str">
        <f aca="false">IF(B$34=0,"",B37/B$34)</f>
        <v/>
      </c>
      <c r="I37" s="51" t="str">
        <f aca="false">IF(C$34=0,"",C37/C$34)</f>
        <v/>
      </c>
      <c r="J37" s="51" t="str">
        <f aca="false">IF(D$34=0,"",D37/D$34)</f>
        <v/>
      </c>
      <c r="K37" s="51" t="str">
        <f aca="false">IF(E$34=0,"",E37/E$34)</f>
        <v/>
      </c>
      <c r="L37" s="51" t="str">
        <f aca="false">IF(F$34=0,"",F37/F$34)</f>
        <v/>
      </c>
      <c r="M37" s="13" t="str">
        <f aca="false">IF(COUNT(H37:K37)&lt;2,"",MAX(H37:K37)-MIN(H37:K37))</f>
        <v/>
      </c>
      <c r="N37" s="52" t="s">
        <v>200</v>
      </c>
      <c r="O37" s="53" t="str">
        <f aca="false">IF(M37="","",M37+ROW()/1000000000)</f>
        <v/>
      </c>
      <c r="P37" s="52" t="str">
        <f aca="false">IF(M37="","",INDEX($A$5:$A$8,MATCH(MAX(H37:K37),H37:K37,0)))</f>
        <v/>
      </c>
      <c r="Q37" s="52" t="str">
        <f aca="false">IF(M37="","",INDEX($A$5:$A$8,MATCH(MIN(H37:K37),H37:K37,0)))</f>
        <v/>
      </c>
    </row>
    <row r="38" customFormat="false" ht="15" hidden="false" customHeight="false" outlineLevel="0" collapsed="false">
      <c r="A38" s="25" t="s">
        <v>39</v>
      </c>
      <c r="B38" s="11" t="n">
        <f aca="false">COUNTIFS(Responses!$D$2:$D$1000,$A38,Responses!$B$2:$B$1000,$A$5)</f>
        <v>0</v>
      </c>
      <c r="C38" s="11" t="n">
        <f aca="false">COUNTIFS(Responses!$D$2:$D$1000,$A38,Responses!$B$2:$B$1000,$A$6)</f>
        <v>0</v>
      </c>
      <c r="D38" s="11" t="n">
        <f aca="false">COUNTIFS(Responses!$D$2:$D$1000,$A38,Responses!$B$2:$B$1000,$A$7)</f>
        <v>0</v>
      </c>
      <c r="E38" s="11" t="n">
        <f aca="false">COUNTIFS(Responses!$D$2:$D$1000,$A38,Responses!$B$2:$B$1000,$A$8)</f>
        <v>0</v>
      </c>
      <c r="F38" s="11" t="n">
        <f aca="false">COUNTIF(Responses!$D$2:$D$1000,$A38)</f>
        <v>0</v>
      </c>
      <c r="H38" s="51" t="str">
        <f aca="false">IF(B$34=0,"",B38/B$34)</f>
        <v/>
      </c>
      <c r="I38" s="51" t="str">
        <f aca="false">IF(C$34=0,"",C38/C$34)</f>
        <v/>
      </c>
      <c r="J38" s="51" t="str">
        <f aca="false">IF(D$34=0,"",D38/D$34)</f>
        <v/>
      </c>
      <c r="K38" s="51" t="str">
        <f aca="false">IF(E$34=0,"",E38/E$34)</f>
        <v/>
      </c>
      <c r="L38" s="51" t="str">
        <f aca="false">IF(F$34=0,"",F38/F$34)</f>
        <v/>
      </c>
      <c r="M38" s="13" t="str">
        <f aca="false">IF(COUNT(H38:K38)&lt;2,"",MAX(H38:K38)-MIN(H38:K38))</f>
        <v/>
      </c>
      <c r="N38" s="52" t="s">
        <v>200</v>
      </c>
      <c r="O38" s="53" t="str">
        <f aca="false">IF(M38="","",M38+ROW()/1000000000)</f>
        <v/>
      </c>
      <c r="P38" s="52" t="str">
        <f aca="false">IF(M38="","",INDEX($A$5:$A$8,MATCH(MAX(H38:K38),H38:K38,0)))</f>
        <v/>
      </c>
      <c r="Q38" s="52" t="str">
        <f aca="false">IF(M38="","",INDEX($A$5:$A$8,MATCH(MIN(H38:K38),H38:K38,0)))</f>
        <v/>
      </c>
    </row>
    <row r="39" customFormat="false" ht="15" hidden="false" customHeight="false" outlineLevel="0" collapsed="false">
      <c r="A39" s="25" t="s">
        <v>115</v>
      </c>
      <c r="B39" s="11" t="n">
        <f aca="false">COUNTIFS(Responses!$D$2:$D$1000,$A39,Responses!$B$2:$B$1000,$A$5)</f>
        <v>0</v>
      </c>
      <c r="C39" s="11" t="n">
        <f aca="false">COUNTIFS(Responses!$D$2:$D$1000,$A39,Responses!$B$2:$B$1000,$A$6)</f>
        <v>0</v>
      </c>
      <c r="D39" s="11" t="n">
        <f aca="false">COUNTIFS(Responses!$D$2:$D$1000,$A39,Responses!$B$2:$B$1000,$A$7)</f>
        <v>0</v>
      </c>
      <c r="E39" s="11" t="n">
        <f aca="false">COUNTIFS(Responses!$D$2:$D$1000,$A39,Responses!$B$2:$B$1000,$A$8)</f>
        <v>0</v>
      </c>
      <c r="F39" s="11" t="n">
        <f aca="false">COUNTIF(Responses!$D$2:$D$1000,$A39)</f>
        <v>0</v>
      </c>
      <c r="H39" s="51" t="str">
        <f aca="false">IF(B$34=0,"",B39/B$34)</f>
        <v/>
      </c>
      <c r="I39" s="51" t="str">
        <f aca="false">IF(C$34=0,"",C39/C$34)</f>
        <v/>
      </c>
      <c r="J39" s="51" t="str">
        <f aca="false">IF(D$34=0,"",D39/D$34)</f>
        <v/>
      </c>
      <c r="K39" s="51" t="str">
        <f aca="false">IF(E$34=0,"",E39/E$34)</f>
        <v/>
      </c>
      <c r="L39" s="51" t="str">
        <f aca="false">IF(F$34=0,"",F39/F$34)</f>
        <v/>
      </c>
      <c r="M39" s="13" t="str">
        <f aca="false">IF(COUNT(H39:K39)&lt;2,"",MAX(H39:K39)-MIN(H39:K39))</f>
        <v/>
      </c>
      <c r="N39" s="52" t="s">
        <v>200</v>
      </c>
      <c r="O39" s="53" t="str">
        <f aca="false">IF(M39="","",M39+ROW()/1000000000)</f>
        <v/>
      </c>
      <c r="P39" s="52" t="str">
        <f aca="false">IF(M39="","",INDEX($A$5:$A$8,MATCH(MAX(H39:K39),H39:K39,0)))</f>
        <v/>
      </c>
      <c r="Q39" s="52" t="str">
        <f aca="false">IF(M39="","",INDEX($A$5:$A$8,MATCH(MIN(H39:K39),H39:K39,0)))</f>
        <v/>
      </c>
    </row>
    <row r="42" customFormat="false" ht="31.5" hidden="false" customHeight="true" outlineLevel="0" collapsed="false">
      <c r="A42" s="22" t="s">
        <v>81</v>
      </c>
      <c r="B42" s="4"/>
      <c r="C42" s="4"/>
      <c r="D42" s="4"/>
      <c r="E42" s="4"/>
      <c r="F42" s="4"/>
      <c r="G42" s="4"/>
      <c r="H42" s="4"/>
      <c r="I42" s="4"/>
      <c r="J42" s="4"/>
      <c r="K42" s="4"/>
      <c r="L42" s="4"/>
      <c r="M42" s="4"/>
    </row>
    <row r="43" customFormat="false" ht="23.85" hidden="false" customHeight="true" outlineLevel="0" collapsed="false">
      <c r="A43" s="23" t="s">
        <v>194</v>
      </c>
      <c r="B43" s="48" t="s">
        <v>99</v>
      </c>
      <c r="C43" s="48"/>
      <c r="D43" s="48"/>
      <c r="E43" s="48"/>
      <c r="F43" s="48"/>
      <c r="H43" s="48" t="s">
        <v>195</v>
      </c>
      <c r="I43" s="48"/>
      <c r="J43" s="48"/>
      <c r="K43" s="48"/>
      <c r="L43" s="48"/>
      <c r="M43" s="49" t="s">
        <v>196</v>
      </c>
    </row>
    <row r="44" customFormat="false" ht="37.5" hidden="false" customHeight="true" outlineLevel="0" collapsed="false">
      <c r="A44" s="50"/>
      <c r="B44" s="33" t="str">
        <f aca="false">$A$5</f>
        <v>18 to 24</v>
      </c>
      <c r="C44" s="33" t="str">
        <f aca="false">$A$6</f>
        <v>25 to 34</v>
      </c>
      <c r="D44" s="33" t="str">
        <f aca="false">$A$7</f>
        <v>35 to 44</v>
      </c>
      <c r="E44" s="33" t="str">
        <f aca="false">$A$8</f>
        <v>45 or older</v>
      </c>
      <c r="F44" s="33" t="s">
        <v>197</v>
      </c>
      <c r="H44" s="33" t="str">
        <f aca="false">$A$5</f>
        <v>18 to 24</v>
      </c>
      <c r="I44" s="33" t="str">
        <f aca="false">$A$6</f>
        <v>25 to 34</v>
      </c>
      <c r="J44" s="33" t="str">
        <f aca="false">$A$7</f>
        <v>35 to 44</v>
      </c>
      <c r="K44" s="33" t="str">
        <f aca="false">$A$8</f>
        <v>45 or older</v>
      </c>
      <c r="L44" s="33" t="s">
        <v>197</v>
      </c>
    </row>
    <row r="45" customFormat="false" ht="15" hidden="false" customHeight="false" outlineLevel="0" collapsed="false">
      <c r="A45" s="26" t="s">
        <v>198</v>
      </c>
      <c r="B45" s="27" t="n">
        <f aca="false">COUNTIFS(Responses!$B$2:$B$1000,$A$5,Responses!$E$2:$E$1000,"&lt;&gt;")</f>
        <v>0</v>
      </c>
      <c r="C45" s="27" t="n">
        <f aca="false">COUNTIFS(Responses!$B$2:$B$1000,$A$6,Responses!$E$2:$E$1000,"&lt;&gt;")</f>
        <v>0</v>
      </c>
      <c r="D45" s="27" t="n">
        <f aca="false">COUNTIFS(Responses!$B$2:$B$1000,$A$7,Responses!$E$2:$E$1000,"&lt;&gt;")</f>
        <v>0</v>
      </c>
      <c r="E45" s="27" t="n">
        <f aca="false">COUNTIFS(Responses!$B$2:$B$1000,$A$8,Responses!$E$2:$E$1000,"&lt;&gt;")</f>
        <v>0</v>
      </c>
      <c r="F45" s="27" t="n">
        <f aca="false">COUNTA(Responses!$E$2:$E$1000)</f>
        <v>0</v>
      </c>
    </row>
    <row r="46" customFormat="false" ht="15" hidden="false" customHeight="false" outlineLevel="0" collapsed="false">
      <c r="A46" s="25" t="s">
        <v>117</v>
      </c>
      <c r="B46" s="11" t="n">
        <f aca="false">COUNTIFS(Responses!$E$2:$E$1000,"*"&amp;$A46&amp;"*",Responses!$B$2:$B$1000,$A$5)</f>
        <v>0</v>
      </c>
      <c r="C46" s="11" t="n">
        <f aca="false">COUNTIFS(Responses!$E$2:$E$1000,"*"&amp;$A46&amp;"*",Responses!$B$2:$B$1000,$A$6)</f>
        <v>0</v>
      </c>
      <c r="D46" s="11" t="n">
        <f aca="false">COUNTIFS(Responses!$E$2:$E$1000,"*"&amp;$A46&amp;"*",Responses!$B$2:$B$1000,$A$7)</f>
        <v>0</v>
      </c>
      <c r="E46" s="11" t="n">
        <f aca="false">COUNTIFS(Responses!$E$2:$E$1000,"*"&amp;$A46&amp;"*",Responses!$B$2:$B$1000,$A$8)</f>
        <v>0</v>
      </c>
      <c r="F46" s="11" t="n">
        <f aca="false">COUNTIF(Responses!$E$2:$E$1000,"*"&amp;$A46&amp;"*")</f>
        <v>0</v>
      </c>
      <c r="H46" s="51" t="str">
        <f aca="false">IF(B$45=0,"",B46/B$45)</f>
        <v/>
      </c>
      <c r="I46" s="51" t="str">
        <f aca="false">IF(C$45=0,"",C46/C$45)</f>
        <v/>
      </c>
      <c r="J46" s="51" t="str">
        <f aca="false">IF(D$45=0,"",D46/D$45)</f>
        <v/>
      </c>
      <c r="K46" s="51" t="str">
        <f aca="false">IF(E$45=0,"",E46/E$45)</f>
        <v/>
      </c>
      <c r="L46" s="51" t="str">
        <f aca="false">IF(F$45=0,"",F46/F$45)</f>
        <v/>
      </c>
      <c r="M46" s="13" t="str">
        <f aca="false">IF(COUNT(H46:K46)&lt;2,"",MAX(H46:K46)-MIN(H46:K46))</f>
        <v/>
      </c>
      <c r="N46" s="52" t="s">
        <v>201</v>
      </c>
      <c r="O46" s="53" t="str">
        <f aca="false">IF(M46="","",M46+ROW()/1000000000)</f>
        <v/>
      </c>
      <c r="P46" s="52" t="str">
        <f aca="false">IF(M46="","",INDEX($A$5:$A$8,MATCH(MAX(H46:K46),H46:K46,0)))</f>
        <v/>
      </c>
      <c r="Q46" s="52" t="str">
        <f aca="false">IF(M46="","",INDEX($A$5:$A$8,MATCH(MIN(H46:K46),H46:K46,0)))</f>
        <v/>
      </c>
    </row>
    <row r="47" customFormat="false" ht="15" hidden="false" customHeight="false" outlineLevel="0" collapsed="false">
      <c r="A47" s="25" t="s">
        <v>118</v>
      </c>
      <c r="B47" s="11" t="n">
        <f aca="false">COUNTIFS(Responses!$E$2:$E$1000,"*"&amp;$A47&amp;"*",Responses!$B$2:$B$1000,$A$5)</f>
        <v>0</v>
      </c>
      <c r="C47" s="11" t="n">
        <f aca="false">COUNTIFS(Responses!$E$2:$E$1000,"*"&amp;$A47&amp;"*",Responses!$B$2:$B$1000,$A$6)</f>
        <v>0</v>
      </c>
      <c r="D47" s="11" t="n">
        <f aca="false">COUNTIFS(Responses!$E$2:$E$1000,"*"&amp;$A47&amp;"*",Responses!$B$2:$B$1000,$A$7)</f>
        <v>0</v>
      </c>
      <c r="E47" s="11" t="n">
        <f aca="false">COUNTIFS(Responses!$E$2:$E$1000,"*"&amp;$A47&amp;"*",Responses!$B$2:$B$1000,$A$8)</f>
        <v>0</v>
      </c>
      <c r="F47" s="11" t="n">
        <f aca="false">COUNTIF(Responses!$E$2:$E$1000,"*"&amp;$A47&amp;"*")</f>
        <v>0</v>
      </c>
      <c r="H47" s="51" t="str">
        <f aca="false">IF(B$45=0,"",B47/B$45)</f>
        <v/>
      </c>
      <c r="I47" s="51" t="str">
        <f aca="false">IF(C$45=0,"",C47/C$45)</f>
        <v/>
      </c>
      <c r="J47" s="51" t="str">
        <f aca="false">IF(D$45=0,"",D47/D$45)</f>
        <v/>
      </c>
      <c r="K47" s="51" t="str">
        <f aca="false">IF(E$45=0,"",E47/E$45)</f>
        <v/>
      </c>
      <c r="L47" s="51" t="str">
        <f aca="false">IF(F$45=0,"",F47/F$45)</f>
        <v/>
      </c>
      <c r="M47" s="13" t="str">
        <f aca="false">IF(COUNT(H47:K47)&lt;2,"",MAX(H47:K47)-MIN(H47:K47))</f>
        <v/>
      </c>
      <c r="N47" s="52" t="s">
        <v>201</v>
      </c>
      <c r="O47" s="53" t="str">
        <f aca="false">IF(M47="","",M47+ROW()/1000000000)</f>
        <v/>
      </c>
      <c r="P47" s="52" t="str">
        <f aca="false">IF(M47="","",INDEX($A$5:$A$8,MATCH(MAX(H47:K47),H47:K47,0)))</f>
        <v/>
      </c>
      <c r="Q47" s="52" t="str">
        <f aca="false">IF(M47="","",INDEX($A$5:$A$8,MATCH(MIN(H47:K47),H47:K47,0)))</f>
        <v/>
      </c>
    </row>
    <row r="48" customFormat="false" ht="15" hidden="false" customHeight="false" outlineLevel="0" collapsed="false">
      <c r="A48" s="25" t="s">
        <v>119</v>
      </c>
      <c r="B48" s="11" t="n">
        <f aca="false">COUNTIFS(Responses!$E$2:$E$1000,"*"&amp;$A48&amp;"*",Responses!$B$2:$B$1000,$A$5)</f>
        <v>0</v>
      </c>
      <c r="C48" s="11" t="n">
        <f aca="false">COUNTIFS(Responses!$E$2:$E$1000,"*"&amp;$A48&amp;"*",Responses!$B$2:$B$1000,$A$6)</f>
        <v>0</v>
      </c>
      <c r="D48" s="11" t="n">
        <f aca="false">COUNTIFS(Responses!$E$2:$E$1000,"*"&amp;$A48&amp;"*",Responses!$B$2:$B$1000,$A$7)</f>
        <v>0</v>
      </c>
      <c r="E48" s="11" t="n">
        <f aca="false">COUNTIFS(Responses!$E$2:$E$1000,"*"&amp;$A48&amp;"*",Responses!$B$2:$B$1000,$A$8)</f>
        <v>0</v>
      </c>
      <c r="F48" s="11" t="n">
        <f aca="false">COUNTIF(Responses!$E$2:$E$1000,"*"&amp;$A48&amp;"*")</f>
        <v>0</v>
      </c>
      <c r="H48" s="51" t="str">
        <f aca="false">IF(B$45=0,"",B48/B$45)</f>
        <v/>
      </c>
      <c r="I48" s="51" t="str">
        <f aca="false">IF(C$45=0,"",C48/C$45)</f>
        <v/>
      </c>
      <c r="J48" s="51" t="str">
        <f aca="false">IF(D$45=0,"",D48/D$45)</f>
        <v/>
      </c>
      <c r="K48" s="51" t="str">
        <f aca="false">IF(E$45=0,"",E48/E$45)</f>
        <v/>
      </c>
      <c r="L48" s="51" t="str">
        <f aca="false">IF(F$45=0,"",F48/F$45)</f>
        <v/>
      </c>
      <c r="M48" s="13" t="str">
        <f aca="false">IF(COUNT(H48:K48)&lt;2,"",MAX(H48:K48)-MIN(H48:K48))</f>
        <v/>
      </c>
      <c r="N48" s="52" t="s">
        <v>201</v>
      </c>
      <c r="O48" s="53" t="str">
        <f aca="false">IF(M48="","",M48+ROW()/1000000000)</f>
        <v/>
      </c>
      <c r="P48" s="52" t="str">
        <f aca="false">IF(M48="","",INDEX($A$5:$A$8,MATCH(MAX(H48:K48),H48:K48,0)))</f>
        <v/>
      </c>
      <c r="Q48" s="52" t="str">
        <f aca="false">IF(M48="","",INDEX($A$5:$A$8,MATCH(MIN(H48:K48),H48:K48,0)))</f>
        <v/>
      </c>
    </row>
    <row r="49" customFormat="false" ht="15" hidden="false" customHeight="false" outlineLevel="0" collapsed="false">
      <c r="A49" s="25" t="s">
        <v>120</v>
      </c>
      <c r="B49" s="11" t="n">
        <f aca="false">COUNTIFS(Responses!$E$2:$E$1000,"*"&amp;$A49&amp;"*",Responses!$B$2:$B$1000,$A$5)</f>
        <v>0</v>
      </c>
      <c r="C49" s="11" t="n">
        <f aca="false">COUNTIFS(Responses!$E$2:$E$1000,"*"&amp;$A49&amp;"*",Responses!$B$2:$B$1000,$A$6)</f>
        <v>0</v>
      </c>
      <c r="D49" s="11" t="n">
        <f aca="false">COUNTIFS(Responses!$E$2:$E$1000,"*"&amp;$A49&amp;"*",Responses!$B$2:$B$1000,$A$7)</f>
        <v>0</v>
      </c>
      <c r="E49" s="11" t="n">
        <f aca="false">COUNTIFS(Responses!$E$2:$E$1000,"*"&amp;$A49&amp;"*",Responses!$B$2:$B$1000,$A$8)</f>
        <v>0</v>
      </c>
      <c r="F49" s="11" t="n">
        <f aca="false">COUNTIF(Responses!$E$2:$E$1000,"*"&amp;$A49&amp;"*")</f>
        <v>0</v>
      </c>
      <c r="H49" s="51" t="str">
        <f aca="false">IF(B$45=0,"",B49/B$45)</f>
        <v/>
      </c>
      <c r="I49" s="51" t="str">
        <f aca="false">IF(C$45=0,"",C49/C$45)</f>
        <v/>
      </c>
      <c r="J49" s="51" t="str">
        <f aca="false">IF(D$45=0,"",D49/D$45)</f>
        <v/>
      </c>
      <c r="K49" s="51" t="str">
        <f aca="false">IF(E$45=0,"",E49/E$45)</f>
        <v/>
      </c>
      <c r="L49" s="51" t="str">
        <f aca="false">IF(F$45=0,"",F49/F$45)</f>
        <v/>
      </c>
      <c r="M49" s="13" t="str">
        <f aca="false">IF(COUNT(H49:K49)&lt;2,"",MAX(H49:K49)-MIN(H49:K49))</f>
        <v/>
      </c>
      <c r="N49" s="52" t="s">
        <v>201</v>
      </c>
      <c r="O49" s="53" t="str">
        <f aca="false">IF(M49="","",M49+ROW()/1000000000)</f>
        <v/>
      </c>
      <c r="P49" s="52" t="str">
        <f aca="false">IF(M49="","",INDEX($A$5:$A$8,MATCH(MAX(H49:K49),H49:K49,0)))</f>
        <v/>
      </c>
      <c r="Q49" s="52" t="str">
        <f aca="false">IF(M49="","",INDEX($A$5:$A$8,MATCH(MIN(H49:K49),H49:K49,0)))</f>
        <v/>
      </c>
    </row>
    <row r="50" customFormat="false" ht="15" hidden="false" customHeight="false" outlineLevel="0" collapsed="false">
      <c r="A50" s="25" t="s">
        <v>121</v>
      </c>
      <c r="B50" s="11" t="n">
        <f aca="false">COUNTIFS(Responses!$E$2:$E$1000,"*"&amp;$A50&amp;"*",Responses!$B$2:$B$1000,$A$5)</f>
        <v>0</v>
      </c>
      <c r="C50" s="11" t="n">
        <f aca="false">COUNTIFS(Responses!$E$2:$E$1000,"*"&amp;$A50&amp;"*",Responses!$B$2:$B$1000,$A$6)</f>
        <v>0</v>
      </c>
      <c r="D50" s="11" t="n">
        <f aca="false">COUNTIFS(Responses!$E$2:$E$1000,"*"&amp;$A50&amp;"*",Responses!$B$2:$B$1000,$A$7)</f>
        <v>0</v>
      </c>
      <c r="E50" s="11" t="n">
        <f aca="false">COUNTIFS(Responses!$E$2:$E$1000,"*"&amp;$A50&amp;"*",Responses!$B$2:$B$1000,$A$8)</f>
        <v>0</v>
      </c>
      <c r="F50" s="11" t="n">
        <f aca="false">COUNTIF(Responses!$E$2:$E$1000,"*"&amp;$A50&amp;"*")</f>
        <v>0</v>
      </c>
      <c r="H50" s="51" t="str">
        <f aca="false">IF(B$45=0,"",B50/B$45)</f>
        <v/>
      </c>
      <c r="I50" s="51" t="str">
        <f aca="false">IF(C$45=0,"",C50/C$45)</f>
        <v/>
      </c>
      <c r="J50" s="51" t="str">
        <f aca="false">IF(D$45=0,"",D50/D$45)</f>
        <v/>
      </c>
      <c r="K50" s="51" t="str">
        <f aca="false">IF(E$45=0,"",E50/E$45)</f>
        <v/>
      </c>
      <c r="L50" s="51" t="str">
        <f aca="false">IF(F$45=0,"",F50/F$45)</f>
        <v/>
      </c>
      <c r="M50" s="13" t="str">
        <f aca="false">IF(COUNT(H50:K50)&lt;2,"",MAX(H50:K50)-MIN(H50:K50))</f>
        <v/>
      </c>
      <c r="N50" s="52" t="s">
        <v>201</v>
      </c>
      <c r="O50" s="53" t="str">
        <f aca="false">IF(M50="","",M50+ROW()/1000000000)</f>
        <v/>
      </c>
      <c r="P50" s="52" t="str">
        <f aca="false">IF(M50="","",INDEX($A$5:$A$8,MATCH(MAX(H50:K50),H50:K50,0)))</f>
        <v/>
      </c>
      <c r="Q50" s="52" t="str">
        <f aca="false">IF(M50="","",INDEX($A$5:$A$8,MATCH(MIN(H50:K50),H50:K50,0)))</f>
        <v/>
      </c>
    </row>
    <row r="51" customFormat="false" ht="15" hidden="false" customHeight="false" outlineLevel="0" collapsed="false">
      <c r="A51" s="25" t="s">
        <v>122</v>
      </c>
      <c r="B51" s="11" t="n">
        <f aca="false">COUNTIFS(Responses!$E$2:$E$1000,"*"&amp;$A51&amp;"*",Responses!$B$2:$B$1000,$A$5)</f>
        <v>0</v>
      </c>
      <c r="C51" s="11" t="n">
        <f aca="false">COUNTIFS(Responses!$E$2:$E$1000,"*"&amp;$A51&amp;"*",Responses!$B$2:$B$1000,$A$6)</f>
        <v>0</v>
      </c>
      <c r="D51" s="11" t="n">
        <f aca="false">COUNTIFS(Responses!$E$2:$E$1000,"*"&amp;$A51&amp;"*",Responses!$B$2:$B$1000,$A$7)</f>
        <v>0</v>
      </c>
      <c r="E51" s="11" t="n">
        <f aca="false">COUNTIFS(Responses!$E$2:$E$1000,"*"&amp;$A51&amp;"*",Responses!$B$2:$B$1000,$A$8)</f>
        <v>0</v>
      </c>
      <c r="F51" s="11" t="n">
        <f aca="false">COUNTIF(Responses!$E$2:$E$1000,"*"&amp;$A51&amp;"*")</f>
        <v>0</v>
      </c>
      <c r="H51" s="51" t="str">
        <f aca="false">IF(B$45=0,"",B51/B$45)</f>
        <v/>
      </c>
      <c r="I51" s="51" t="str">
        <f aca="false">IF(C$45=0,"",C51/C$45)</f>
        <v/>
      </c>
      <c r="J51" s="51" t="str">
        <f aca="false">IF(D$45=0,"",D51/D$45)</f>
        <v/>
      </c>
      <c r="K51" s="51" t="str">
        <f aca="false">IF(E$45=0,"",E51/E$45)</f>
        <v/>
      </c>
      <c r="L51" s="51" t="str">
        <f aca="false">IF(F$45=0,"",F51/F$45)</f>
        <v/>
      </c>
      <c r="M51" s="13" t="str">
        <f aca="false">IF(COUNT(H51:K51)&lt;2,"",MAX(H51:K51)-MIN(H51:K51))</f>
        <v/>
      </c>
      <c r="N51" s="52" t="s">
        <v>201</v>
      </c>
      <c r="O51" s="53" t="str">
        <f aca="false">IF(M51="","",M51+ROW()/1000000000)</f>
        <v/>
      </c>
      <c r="P51" s="52" t="str">
        <f aca="false">IF(M51="","",INDEX($A$5:$A$8,MATCH(MAX(H51:K51),H51:K51,0)))</f>
        <v/>
      </c>
      <c r="Q51" s="52" t="str">
        <f aca="false">IF(M51="","",INDEX($A$5:$A$8,MATCH(MIN(H51:K51),H51:K51,0)))</f>
        <v/>
      </c>
    </row>
    <row r="52" customFormat="false" ht="15" hidden="false" customHeight="false" outlineLevel="0" collapsed="false">
      <c r="A52" s="25" t="s">
        <v>123</v>
      </c>
      <c r="B52" s="11" t="n">
        <f aca="false">COUNTIFS(Responses!$E$2:$E$1000,"*"&amp;$A52&amp;"*",Responses!$B$2:$B$1000,$A$5)</f>
        <v>0</v>
      </c>
      <c r="C52" s="11" t="n">
        <f aca="false">COUNTIFS(Responses!$E$2:$E$1000,"*"&amp;$A52&amp;"*",Responses!$B$2:$B$1000,$A$6)</f>
        <v>0</v>
      </c>
      <c r="D52" s="11" t="n">
        <f aca="false">COUNTIFS(Responses!$E$2:$E$1000,"*"&amp;$A52&amp;"*",Responses!$B$2:$B$1000,$A$7)</f>
        <v>0</v>
      </c>
      <c r="E52" s="11" t="n">
        <f aca="false">COUNTIFS(Responses!$E$2:$E$1000,"*"&amp;$A52&amp;"*",Responses!$B$2:$B$1000,$A$8)</f>
        <v>0</v>
      </c>
      <c r="F52" s="11" t="n">
        <f aca="false">COUNTIF(Responses!$E$2:$E$1000,"*"&amp;$A52&amp;"*")</f>
        <v>0</v>
      </c>
      <c r="H52" s="51" t="str">
        <f aca="false">IF(B$45=0,"",B52/B$45)</f>
        <v/>
      </c>
      <c r="I52" s="51" t="str">
        <f aca="false">IF(C$45=0,"",C52/C$45)</f>
        <v/>
      </c>
      <c r="J52" s="51" t="str">
        <f aca="false">IF(D$45=0,"",D52/D$45)</f>
        <v/>
      </c>
      <c r="K52" s="51" t="str">
        <f aca="false">IF(E$45=0,"",E52/E$45)</f>
        <v/>
      </c>
      <c r="L52" s="51" t="str">
        <f aca="false">IF(F$45=0,"",F52/F$45)</f>
        <v/>
      </c>
      <c r="M52" s="13" t="str">
        <f aca="false">IF(COUNT(H52:K52)&lt;2,"",MAX(H52:K52)-MIN(H52:K52))</f>
        <v/>
      </c>
      <c r="N52" s="52" t="s">
        <v>201</v>
      </c>
      <c r="O52" s="53" t="str">
        <f aca="false">IF(M52="","",M52+ROW()/1000000000)</f>
        <v/>
      </c>
      <c r="P52" s="52" t="str">
        <f aca="false">IF(M52="","",INDEX($A$5:$A$8,MATCH(MAX(H52:K52),H52:K52,0)))</f>
        <v/>
      </c>
      <c r="Q52" s="52" t="str">
        <f aca="false">IF(M52="","",INDEX($A$5:$A$8,MATCH(MIN(H52:K52),H52:K52,0)))</f>
        <v/>
      </c>
    </row>
    <row r="55" customFormat="false" ht="31.5" hidden="false" customHeight="true" outlineLevel="0" collapsed="false">
      <c r="A55" s="22" t="s">
        <v>82</v>
      </c>
      <c r="B55" s="4"/>
      <c r="C55" s="4"/>
      <c r="D55" s="4"/>
      <c r="E55" s="4"/>
      <c r="F55" s="4"/>
      <c r="G55" s="4"/>
      <c r="H55" s="4"/>
      <c r="I55" s="4"/>
      <c r="J55" s="4"/>
      <c r="K55" s="4"/>
      <c r="L55" s="4"/>
      <c r="M55" s="4"/>
    </row>
    <row r="56" customFormat="false" ht="23.85" hidden="false" customHeight="true" outlineLevel="0" collapsed="false">
      <c r="A56" s="23" t="s">
        <v>194</v>
      </c>
      <c r="B56" s="48" t="s">
        <v>99</v>
      </c>
      <c r="C56" s="48"/>
      <c r="D56" s="48"/>
      <c r="E56" s="48"/>
      <c r="F56" s="48"/>
      <c r="H56" s="48" t="s">
        <v>195</v>
      </c>
      <c r="I56" s="48"/>
      <c r="J56" s="48"/>
      <c r="K56" s="48"/>
      <c r="L56" s="48"/>
      <c r="M56" s="49" t="s">
        <v>196</v>
      </c>
    </row>
    <row r="57" customFormat="false" ht="37.5" hidden="false" customHeight="true" outlineLevel="0" collapsed="false">
      <c r="A57" s="50"/>
      <c r="B57" s="33" t="str">
        <f aca="false">$A$5</f>
        <v>18 to 24</v>
      </c>
      <c r="C57" s="33" t="str">
        <f aca="false">$A$6</f>
        <v>25 to 34</v>
      </c>
      <c r="D57" s="33" t="str">
        <f aca="false">$A$7</f>
        <v>35 to 44</v>
      </c>
      <c r="E57" s="33" t="str">
        <f aca="false">$A$8</f>
        <v>45 or older</v>
      </c>
      <c r="F57" s="33" t="s">
        <v>197</v>
      </c>
      <c r="H57" s="33" t="str">
        <f aca="false">$A$5</f>
        <v>18 to 24</v>
      </c>
      <c r="I57" s="33" t="str">
        <f aca="false">$A$6</f>
        <v>25 to 34</v>
      </c>
      <c r="J57" s="33" t="str">
        <f aca="false">$A$7</f>
        <v>35 to 44</v>
      </c>
      <c r="K57" s="33" t="str">
        <f aca="false">$A$8</f>
        <v>45 or older</v>
      </c>
      <c r="L57" s="33" t="s">
        <v>197</v>
      </c>
    </row>
    <row r="58" customFormat="false" ht="15" hidden="false" customHeight="false" outlineLevel="0" collapsed="false">
      <c r="A58" s="26" t="s">
        <v>198</v>
      </c>
      <c r="B58" s="27" t="n">
        <f aca="false">COUNTIFS(Responses!$B$2:$B$1000,$A$5,Responses!$F$2:$F$1000,"&lt;&gt;")</f>
        <v>0</v>
      </c>
      <c r="C58" s="27" t="n">
        <f aca="false">COUNTIFS(Responses!$B$2:$B$1000,$A$6,Responses!$F$2:$F$1000,"&lt;&gt;")</f>
        <v>0</v>
      </c>
      <c r="D58" s="27" t="n">
        <f aca="false">COUNTIFS(Responses!$B$2:$B$1000,$A$7,Responses!$F$2:$F$1000,"&lt;&gt;")</f>
        <v>0</v>
      </c>
      <c r="E58" s="27" t="n">
        <f aca="false">COUNTIFS(Responses!$B$2:$B$1000,$A$8,Responses!$F$2:$F$1000,"&lt;&gt;")</f>
        <v>0</v>
      </c>
      <c r="F58" s="27" t="n">
        <f aca="false">COUNTA(Responses!$F$2:$F$1000)</f>
        <v>0</v>
      </c>
    </row>
    <row r="59" customFormat="false" ht="15" hidden="false" customHeight="false" outlineLevel="0" collapsed="false">
      <c r="A59" s="25" t="s">
        <v>126</v>
      </c>
      <c r="B59" s="11" t="n">
        <f aca="false">COUNTIFS(Responses!$F$2:$F$1000,$A59,Responses!$B$2:$B$1000,$A$5)</f>
        <v>0</v>
      </c>
      <c r="C59" s="11" t="n">
        <f aca="false">COUNTIFS(Responses!$F$2:$F$1000,$A59,Responses!$B$2:$B$1000,$A$6)</f>
        <v>0</v>
      </c>
      <c r="D59" s="11" t="n">
        <f aca="false">COUNTIFS(Responses!$F$2:$F$1000,$A59,Responses!$B$2:$B$1000,$A$7)</f>
        <v>0</v>
      </c>
      <c r="E59" s="11" t="n">
        <f aca="false">COUNTIFS(Responses!$F$2:$F$1000,$A59,Responses!$B$2:$B$1000,$A$8)</f>
        <v>0</v>
      </c>
      <c r="F59" s="11" t="n">
        <f aca="false">COUNTIF(Responses!$F$2:$F$1000,$A59)</f>
        <v>0</v>
      </c>
      <c r="H59" s="51" t="str">
        <f aca="false">IF(B$58=0,"",B59/B$58)</f>
        <v/>
      </c>
      <c r="I59" s="51" t="str">
        <f aca="false">IF(C$58=0,"",C59/C$58)</f>
        <v/>
      </c>
      <c r="J59" s="51" t="str">
        <f aca="false">IF(D$58=0,"",D59/D$58)</f>
        <v/>
      </c>
      <c r="K59" s="51" t="str">
        <f aca="false">IF(E$58=0,"",E59/E$58)</f>
        <v/>
      </c>
      <c r="L59" s="51" t="str">
        <f aca="false">IF(F$58=0,"",F59/F$58)</f>
        <v/>
      </c>
      <c r="M59" s="13" t="str">
        <f aca="false">IF(COUNT(H59:K59)&lt;2,"",MAX(H59:K59)-MIN(H59:K59))</f>
        <v/>
      </c>
      <c r="N59" s="52" t="s">
        <v>202</v>
      </c>
      <c r="O59" s="53" t="str">
        <f aca="false">IF(M59="","",M59+ROW()/1000000000)</f>
        <v/>
      </c>
      <c r="P59" s="52" t="str">
        <f aca="false">IF(M59="","",INDEX($A$5:$A$8,MATCH(MAX(H59:K59),H59:K59,0)))</f>
        <v/>
      </c>
      <c r="Q59" s="52" t="str">
        <f aca="false">IF(M59="","",INDEX($A$5:$A$8,MATCH(MIN(H59:K59),H59:K59,0)))</f>
        <v/>
      </c>
    </row>
    <row r="60" customFormat="false" ht="15" hidden="false" customHeight="false" outlineLevel="0" collapsed="false">
      <c r="A60" s="25" t="s">
        <v>127</v>
      </c>
      <c r="B60" s="11" t="n">
        <f aca="false">COUNTIFS(Responses!$F$2:$F$1000,$A60,Responses!$B$2:$B$1000,$A$5)</f>
        <v>0</v>
      </c>
      <c r="C60" s="11" t="n">
        <f aca="false">COUNTIFS(Responses!$F$2:$F$1000,$A60,Responses!$B$2:$B$1000,$A$6)</f>
        <v>0</v>
      </c>
      <c r="D60" s="11" t="n">
        <f aca="false">COUNTIFS(Responses!$F$2:$F$1000,$A60,Responses!$B$2:$B$1000,$A$7)</f>
        <v>0</v>
      </c>
      <c r="E60" s="11" t="n">
        <f aca="false">COUNTIFS(Responses!$F$2:$F$1000,$A60,Responses!$B$2:$B$1000,$A$8)</f>
        <v>0</v>
      </c>
      <c r="F60" s="11" t="n">
        <f aca="false">COUNTIF(Responses!$F$2:$F$1000,$A60)</f>
        <v>0</v>
      </c>
      <c r="H60" s="51" t="str">
        <f aca="false">IF(B$58=0,"",B60/B$58)</f>
        <v/>
      </c>
      <c r="I60" s="51" t="str">
        <f aca="false">IF(C$58=0,"",C60/C$58)</f>
        <v/>
      </c>
      <c r="J60" s="51" t="str">
        <f aca="false">IF(D$58=0,"",D60/D$58)</f>
        <v/>
      </c>
      <c r="K60" s="51" t="str">
        <f aca="false">IF(E$58=0,"",E60/E$58)</f>
        <v/>
      </c>
      <c r="L60" s="51" t="str">
        <f aca="false">IF(F$58=0,"",F60/F$58)</f>
        <v/>
      </c>
      <c r="M60" s="13" t="str">
        <f aca="false">IF(COUNT(H60:K60)&lt;2,"",MAX(H60:K60)-MIN(H60:K60))</f>
        <v/>
      </c>
      <c r="N60" s="52" t="s">
        <v>202</v>
      </c>
      <c r="O60" s="53" t="str">
        <f aca="false">IF(M60="","",M60+ROW()/1000000000)</f>
        <v/>
      </c>
      <c r="P60" s="52" t="str">
        <f aca="false">IF(M60="","",INDEX($A$5:$A$8,MATCH(MAX(H60:K60),H60:K60,0)))</f>
        <v/>
      </c>
      <c r="Q60" s="52" t="str">
        <f aca="false">IF(M60="","",INDEX($A$5:$A$8,MATCH(MIN(H60:K60),H60:K60,0)))</f>
        <v/>
      </c>
    </row>
    <row r="61" customFormat="false" ht="15" hidden="false" customHeight="false" outlineLevel="0" collapsed="false">
      <c r="A61" s="25" t="s">
        <v>44</v>
      </c>
      <c r="B61" s="11" t="n">
        <f aca="false">COUNTIFS(Responses!$F$2:$F$1000,$A61,Responses!$B$2:$B$1000,$A$5)</f>
        <v>0</v>
      </c>
      <c r="C61" s="11" t="n">
        <f aca="false">COUNTIFS(Responses!$F$2:$F$1000,$A61,Responses!$B$2:$B$1000,$A$6)</f>
        <v>0</v>
      </c>
      <c r="D61" s="11" t="n">
        <f aca="false">COUNTIFS(Responses!$F$2:$F$1000,$A61,Responses!$B$2:$B$1000,$A$7)</f>
        <v>0</v>
      </c>
      <c r="E61" s="11" t="n">
        <f aca="false">COUNTIFS(Responses!$F$2:$F$1000,$A61,Responses!$B$2:$B$1000,$A$8)</f>
        <v>0</v>
      </c>
      <c r="F61" s="11" t="n">
        <f aca="false">COUNTIF(Responses!$F$2:$F$1000,$A61)</f>
        <v>0</v>
      </c>
      <c r="H61" s="51" t="str">
        <f aca="false">IF(B$58=0,"",B61/B$58)</f>
        <v/>
      </c>
      <c r="I61" s="51" t="str">
        <f aca="false">IF(C$58=0,"",C61/C$58)</f>
        <v/>
      </c>
      <c r="J61" s="51" t="str">
        <f aca="false">IF(D$58=0,"",D61/D$58)</f>
        <v/>
      </c>
      <c r="K61" s="51" t="str">
        <f aca="false">IF(E$58=0,"",E61/E$58)</f>
        <v/>
      </c>
      <c r="L61" s="51" t="str">
        <f aca="false">IF(F$58=0,"",F61/F$58)</f>
        <v/>
      </c>
      <c r="M61" s="13" t="str">
        <f aca="false">IF(COUNT(H61:K61)&lt;2,"",MAX(H61:K61)-MIN(H61:K61))</f>
        <v/>
      </c>
      <c r="N61" s="52" t="s">
        <v>202</v>
      </c>
      <c r="O61" s="53" t="str">
        <f aca="false">IF(M61="","",M61+ROW()/1000000000)</f>
        <v/>
      </c>
      <c r="P61" s="52" t="str">
        <f aca="false">IF(M61="","",INDEX($A$5:$A$8,MATCH(MAX(H61:K61),H61:K61,0)))</f>
        <v/>
      </c>
      <c r="Q61" s="52" t="str">
        <f aca="false">IF(M61="","",INDEX($A$5:$A$8,MATCH(MIN(H61:K61),H61:K61,0)))</f>
        <v/>
      </c>
    </row>
    <row r="62" customFormat="false" ht="15" hidden="false" customHeight="false" outlineLevel="0" collapsed="false">
      <c r="A62" s="25" t="s">
        <v>128</v>
      </c>
      <c r="B62" s="11" t="n">
        <f aca="false">COUNTIFS(Responses!$F$2:$F$1000,$A62,Responses!$B$2:$B$1000,$A$5)</f>
        <v>0</v>
      </c>
      <c r="C62" s="11" t="n">
        <f aca="false">COUNTIFS(Responses!$F$2:$F$1000,$A62,Responses!$B$2:$B$1000,$A$6)</f>
        <v>0</v>
      </c>
      <c r="D62" s="11" t="n">
        <f aca="false">COUNTIFS(Responses!$F$2:$F$1000,$A62,Responses!$B$2:$B$1000,$A$7)</f>
        <v>0</v>
      </c>
      <c r="E62" s="11" t="n">
        <f aca="false">COUNTIFS(Responses!$F$2:$F$1000,$A62,Responses!$B$2:$B$1000,$A$8)</f>
        <v>0</v>
      </c>
      <c r="F62" s="11" t="n">
        <f aca="false">COUNTIF(Responses!$F$2:$F$1000,$A62)</f>
        <v>0</v>
      </c>
      <c r="H62" s="51" t="str">
        <f aca="false">IF(B$58=0,"",B62/B$58)</f>
        <v/>
      </c>
      <c r="I62" s="51" t="str">
        <f aca="false">IF(C$58=0,"",C62/C$58)</f>
        <v/>
      </c>
      <c r="J62" s="51" t="str">
        <f aca="false">IF(D$58=0,"",D62/D$58)</f>
        <v/>
      </c>
      <c r="K62" s="51" t="str">
        <f aca="false">IF(E$58=0,"",E62/E$58)</f>
        <v/>
      </c>
      <c r="L62" s="51" t="str">
        <f aca="false">IF(F$58=0,"",F62/F$58)</f>
        <v/>
      </c>
      <c r="M62" s="13" t="str">
        <f aca="false">IF(COUNT(H62:K62)&lt;2,"",MAX(H62:K62)-MIN(H62:K62))</f>
        <v/>
      </c>
      <c r="N62" s="52" t="s">
        <v>202</v>
      </c>
      <c r="O62" s="53" t="str">
        <f aca="false">IF(M62="","",M62+ROW()/1000000000)</f>
        <v/>
      </c>
      <c r="P62" s="52" t="str">
        <f aca="false">IF(M62="","",INDEX($A$5:$A$8,MATCH(MAX(H62:K62),H62:K62,0)))</f>
        <v/>
      </c>
      <c r="Q62" s="52" t="str">
        <f aca="false">IF(M62="","",INDEX($A$5:$A$8,MATCH(MIN(H62:K62),H62:K62,0)))</f>
        <v/>
      </c>
    </row>
    <row r="63" customFormat="false" ht="15" hidden="false" customHeight="false" outlineLevel="0" collapsed="false">
      <c r="A63" s="25" t="s">
        <v>129</v>
      </c>
      <c r="B63" s="11" t="n">
        <f aca="false">COUNTIFS(Responses!$F$2:$F$1000,$A63,Responses!$B$2:$B$1000,$A$5)</f>
        <v>0</v>
      </c>
      <c r="C63" s="11" t="n">
        <f aca="false">COUNTIFS(Responses!$F$2:$F$1000,$A63,Responses!$B$2:$B$1000,$A$6)</f>
        <v>0</v>
      </c>
      <c r="D63" s="11" t="n">
        <f aca="false">COUNTIFS(Responses!$F$2:$F$1000,$A63,Responses!$B$2:$B$1000,$A$7)</f>
        <v>0</v>
      </c>
      <c r="E63" s="11" t="n">
        <f aca="false">COUNTIFS(Responses!$F$2:$F$1000,$A63,Responses!$B$2:$B$1000,$A$8)</f>
        <v>0</v>
      </c>
      <c r="F63" s="11" t="n">
        <f aca="false">COUNTIF(Responses!$F$2:$F$1000,$A63)</f>
        <v>0</v>
      </c>
      <c r="H63" s="51" t="str">
        <f aca="false">IF(B$58=0,"",B63/B$58)</f>
        <v/>
      </c>
      <c r="I63" s="51" t="str">
        <f aca="false">IF(C$58=0,"",C63/C$58)</f>
        <v/>
      </c>
      <c r="J63" s="51" t="str">
        <f aca="false">IF(D$58=0,"",D63/D$58)</f>
        <v/>
      </c>
      <c r="K63" s="51" t="str">
        <f aca="false">IF(E$58=0,"",E63/E$58)</f>
        <v/>
      </c>
      <c r="L63" s="51" t="str">
        <f aca="false">IF(F$58=0,"",F63/F$58)</f>
        <v/>
      </c>
      <c r="M63" s="13" t="str">
        <f aca="false">IF(COUNT(H63:K63)&lt;2,"",MAX(H63:K63)-MIN(H63:K63))</f>
        <v/>
      </c>
      <c r="N63" s="52" t="s">
        <v>202</v>
      </c>
      <c r="O63" s="53" t="str">
        <f aca="false">IF(M63="","",M63+ROW()/1000000000)</f>
        <v/>
      </c>
      <c r="P63" s="52" t="str">
        <f aca="false">IF(M63="","",INDEX($A$5:$A$8,MATCH(MAX(H63:K63),H63:K63,0)))</f>
        <v/>
      </c>
      <c r="Q63" s="52" t="str">
        <f aca="false">IF(M63="","",INDEX($A$5:$A$8,MATCH(MIN(H63:K63),H63:K63,0)))</f>
        <v/>
      </c>
    </row>
    <row r="66" customFormat="false" ht="31.5" hidden="false" customHeight="true" outlineLevel="0" collapsed="false">
      <c r="A66" s="22" t="s">
        <v>130</v>
      </c>
      <c r="B66" s="4"/>
      <c r="C66" s="4"/>
      <c r="D66" s="4"/>
      <c r="E66" s="4"/>
      <c r="F66" s="4"/>
      <c r="G66" s="4"/>
      <c r="H66" s="4"/>
      <c r="I66" s="4"/>
      <c r="J66" s="4"/>
      <c r="K66" s="4"/>
      <c r="L66" s="4"/>
      <c r="M66" s="4"/>
    </row>
    <row r="67" customFormat="false" ht="23.85" hidden="false" customHeight="true" outlineLevel="0" collapsed="false">
      <c r="A67" s="23" t="s">
        <v>194</v>
      </c>
      <c r="B67" s="48" t="s">
        <v>99</v>
      </c>
      <c r="C67" s="48"/>
      <c r="D67" s="48"/>
      <c r="E67" s="48"/>
      <c r="F67" s="48"/>
      <c r="H67" s="48" t="s">
        <v>195</v>
      </c>
      <c r="I67" s="48"/>
      <c r="J67" s="48"/>
      <c r="K67" s="48"/>
      <c r="L67" s="48"/>
      <c r="M67" s="49" t="s">
        <v>196</v>
      </c>
    </row>
    <row r="68" customFormat="false" ht="37.5" hidden="false" customHeight="true" outlineLevel="0" collapsed="false">
      <c r="A68" s="50"/>
      <c r="B68" s="33" t="str">
        <f aca="false">$A$5</f>
        <v>18 to 24</v>
      </c>
      <c r="C68" s="33" t="str">
        <f aca="false">$A$6</f>
        <v>25 to 34</v>
      </c>
      <c r="D68" s="33" t="str">
        <f aca="false">$A$7</f>
        <v>35 to 44</v>
      </c>
      <c r="E68" s="33" t="str">
        <f aca="false">$A$8</f>
        <v>45 or older</v>
      </c>
      <c r="F68" s="33" t="s">
        <v>197</v>
      </c>
      <c r="H68" s="33" t="str">
        <f aca="false">$A$5</f>
        <v>18 to 24</v>
      </c>
      <c r="I68" s="33" t="str">
        <f aca="false">$A$6</f>
        <v>25 to 34</v>
      </c>
      <c r="J68" s="33" t="str">
        <f aca="false">$A$7</f>
        <v>35 to 44</v>
      </c>
      <c r="K68" s="33" t="str">
        <f aca="false">$A$8</f>
        <v>45 or older</v>
      </c>
      <c r="L68" s="33" t="s">
        <v>197</v>
      </c>
    </row>
    <row r="69" customFormat="false" ht="15" hidden="false" customHeight="false" outlineLevel="0" collapsed="false">
      <c r="A69" s="26" t="s">
        <v>198</v>
      </c>
      <c r="B69" s="27" t="n">
        <f aca="false">COUNTIFS(Responses!$B$2:$B$1000,$A$5,Responses!$G$2:$G$1000,"&lt;&gt;")</f>
        <v>0</v>
      </c>
      <c r="C69" s="27" t="n">
        <f aca="false">COUNTIFS(Responses!$B$2:$B$1000,$A$6,Responses!$G$2:$G$1000,"&lt;&gt;")</f>
        <v>0</v>
      </c>
      <c r="D69" s="27" t="n">
        <f aca="false">COUNTIFS(Responses!$B$2:$B$1000,$A$7,Responses!$G$2:$G$1000,"&lt;&gt;")</f>
        <v>0</v>
      </c>
      <c r="E69" s="27" t="n">
        <f aca="false">COUNTIFS(Responses!$B$2:$B$1000,$A$8,Responses!$G$2:$G$1000,"&lt;&gt;")</f>
        <v>0</v>
      </c>
      <c r="F69" s="27" t="n">
        <f aca="false">COUNTA(Responses!$G$2:$G$1000)</f>
        <v>0</v>
      </c>
    </row>
    <row r="70" customFormat="false" ht="25.5" hidden="false" customHeight="true" outlineLevel="0" collapsed="false">
      <c r="A70" s="44" t="s">
        <v>203</v>
      </c>
      <c r="B70" s="11" t="n">
        <f aca="false">COUNTIFS(Responses!$G$2:$G$1000,"Agree",Responses!$B$2:$B$1000,$A$5)+COUNTIFS(Responses!$G$2:$G$1000,"Strongly agree",Responses!$B$2:$B$1000,$A$5)</f>
        <v>0</v>
      </c>
      <c r="C70" s="11" t="n">
        <f aca="false">COUNTIFS(Responses!$G$2:$G$1000,"Agree",Responses!$B$2:$B$1000,$A$6)+COUNTIFS(Responses!$G$2:$G$1000,"Strongly agree",Responses!$B$2:$B$1000,$A$6)</f>
        <v>0</v>
      </c>
      <c r="D70" s="11" t="n">
        <f aca="false">COUNTIFS(Responses!$G$2:$G$1000,"Agree",Responses!$B$2:$B$1000,$A$7)+COUNTIFS(Responses!$G$2:$G$1000,"Strongly agree",Responses!$B$2:$B$1000,$A$7)</f>
        <v>0</v>
      </c>
      <c r="E70" s="11" t="n">
        <f aca="false">COUNTIFS(Responses!$G$2:$G$1000,"Agree",Responses!$B$2:$B$1000,$A$8)+COUNTIFS(Responses!$G$2:$G$1000,"Strongly agree",Responses!$B$2:$B$1000,$A$8)</f>
        <v>0</v>
      </c>
      <c r="F70" s="11" t="n">
        <f aca="false">COUNTIF(Responses!$G$2:$G$1000,"Agree")+COUNTIF(Responses!$G$2:$G$1000,"Strongly agree")</f>
        <v>0</v>
      </c>
      <c r="H70" s="51" t="str">
        <f aca="false">IF(B$69=0,"",B70/B$69)</f>
        <v/>
      </c>
      <c r="I70" s="51" t="str">
        <f aca="false">IF(C$69=0,"",C70/C$69)</f>
        <v/>
      </c>
      <c r="J70" s="51" t="str">
        <f aca="false">IF(D$69=0,"",D70/D$69)</f>
        <v/>
      </c>
      <c r="K70" s="51" t="str">
        <f aca="false">IF(E$69=0,"",E70/E$69)</f>
        <v/>
      </c>
      <c r="L70" s="51" t="str">
        <f aca="false">IF(F$69=0,"",F70/F$69)</f>
        <v/>
      </c>
      <c r="M70" s="13" t="str">
        <f aca="false">IF(COUNT(H70:K70)&lt;2,"",MAX(H70:K70)-MIN(H70:K70))</f>
        <v/>
      </c>
      <c r="N70" s="52" t="s">
        <v>204</v>
      </c>
      <c r="O70" s="53" t="str">
        <f aca="false">IF(M70="","",M70+ROW()/1000000000)</f>
        <v/>
      </c>
      <c r="P70" s="52" t="str">
        <f aca="false">IF(M70="","",INDEX($A$5:$A$8,MATCH(MAX(H70:K70),H70:K70,0)))</f>
        <v/>
      </c>
      <c r="Q70" s="52" t="str">
        <f aca="false">IF(M70="","",INDEX($A$5:$A$8,MATCH(MIN(H70:K70),H70:K70,0)))</f>
        <v/>
      </c>
    </row>
    <row r="71" customFormat="false" ht="25.5" hidden="false" customHeight="true" outlineLevel="0" collapsed="false">
      <c r="A71" s="44" t="s">
        <v>205</v>
      </c>
      <c r="B71" s="11" t="n">
        <f aca="false">COUNTIFS(Responses!$H$2:$H$1000,"Agree",Responses!$B$2:$B$1000,$A$5)+COUNTIFS(Responses!$H$2:$H$1000,"Strongly agree",Responses!$B$2:$B$1000,$A$5)</f>
        <v>0</v>
      </c>
      <c r="C71" s="11" t="n">
        <f aca="false">COUNTIFS(Responses!$H$2:$H$1000,"Agree",Responses!$B$2:$B$1000,$A$6)+COUNTIFS(Responses!$H$2:$H$1000,"Strongly agree",Responses!$B$2:$B$1000,$A$6)</f>
        <v>0</v>
      </c>
      <c r="D71" s="11" t="n">
        <f aca="false">COUNTIFS(Responses!$H$2:$H$1000,"Agree",Responses!$B$2:$B$1000,$A$7)+COUNTIFS(Responses!$H$2:$H$1000,"Strongly agree",Responses!$B$2:$B$1000,$A$7)</f>
        <v>0</v>
      </c>
      <c r="E71" s="11" t="n">
        <f aca="false">COUNTIFS(Responses!$H$2:$H$1000,"Agree",Responses!$B$2:$B$1000,$A$8)+COUNTIFS(Responses!$H$2:$H$1000,"Strongly agree",Responses!$B$2:$B$1000,$A$8)</f>
        <v>0</v>
      </c>
      <c r="F71" s="11" t="n">
        <f aca="false">COUNTIF(Responses!$H$2:$H$1000,"Agree")+COUNTIF(Responses!$H$2:$H$1000,"Strongly agree")</f>
        <v>0</v>
      </c>
      <c r="H71" s="51" t="str">
        <f aca="false">IF(B$69=0,"",B71/B$69)</f>
        <v/>
      </c>
      <c r="I71" s="51" t="str">
        <f aca="false">IF(C$69=0,"",C71/C$69)</f>
        <v/>
      </c>
      <c r="J71" s="51" t="str">
        <f aca="false">IF(D$69=0,"",D71/D$69)</f>
        <v/>
      </c>
      <c r="K71" s="51" t="str">
        <f aca="false">IF(E$69=0,"",E71/E$69)</f>
        <v/>
      </c>
      <c r="L71" s="51" t="str">
        <f aca="false">IF(F$69=0,"",F71/F$69)</f>
        <v/>
      </c>
      <c r="M71" s="13" t="str">
        <f aca="false">IF(COUNT(H71:K71)&lt;2,"",MAX(H71:K71)-MIN(H71:K71))</f>
        <v/>
      </c>
      <c r="N71" s="52" t="s">
        <v>204</v>
      </c>
      <c r="O71" s="53" t="str">
        <f aca="false">IF(M71="","",M71+ROW()/1000000000)</f>
        <v/>
      </c>
      <c r="P71" s="52" t="str">
        <f aca="false">IF(M71="","",INDEX($A$5:$A$8,MATCH(MAX(H71:K71),H71:K71,0)))</f>
        <v/>
      </c>
      <c r="Q71" s="52" t="str">
        <f aca="false">IF(M71="","",INDEX($A$5:$A$8,MATCH(MIN(H71:K71),H71:K71,0)))</f>
        <v/>
      </c>
    </row>
    <row r="72" customFormat="false" ht="25.5" hidden="false" customHeight="true" outlineLevel="0" collapsed="false">
      <c r="A72" s="44" t="s">
        <v>206</v>
      </c>
      <c r="B72" s="11" t="n">
        <f aca="false">COUNTIFS(Responses!$I$2:$I$1000,"Agree",Responses!$B$2:$B$1000,$A$5)+COUNTIFS(Responses!$I$2:$I$1000,"Strongly agree",Responses!$B$2:$B$1000,$A$5)</f>
        <v>0</v>
      </c>
      <c r="C72" s="11" t="n">
        <f aca="false">COUNTIFS(Responses!$I$2:$I$1000,"Agree",Responses!$B$2:$B$1000,$A$6)+COUNTIFS(Responses!$I$2:$I$1000,"Strongly agree",Responses!$B$2:$B$1000,$A$6)</f>
        <v>0</v>
      </c>
      <c r="D72" s="11" t="n">
        <f aca="false">COUNTIFS(Responses!$I$2:$I$1000,"Agree",Responses!$B$2:$B$1000,$A$7)+COUNTIFS(Responses!$I$2:$I$1000,"Strongly agree",Responses!$B$2:$B$1000,$A$7)</f>
        <v>0</v>
      </c>
      <c r="E72" s="11" t="n">
        <f aca="false">COUNTIFS(Responses!$I$2:$I$1000,"Agree",Responses!$B$2:$B$1000,$A$8)+COUNTIFS(Responses!$I$2:$I$1000,"Strongly agree",Responses!$B$2:$B$1000,$A$8)</f>
        <v>0</v>
      </c>
      <c r="F72" s="11" t="n">
        <f aca="false">COUNTIF(Responses!$I$2:$I$1000,"Agree")+COUNTIF(Responses!$I$2:$I$1000,"Strongly agree")</f>
        <v>0</v>
      </c>
      <c r="H72" s="51" t="str">
        <f aca="false">IF(B$69=0,"",B72/B$69)</f>
        <v/>
      </c>
      <c r="I72" s="51" t="str">
        <f aca="false">IF(C$69=0,"",C72/C$69)</f>
        <v/>
      </c>
      <c r="J72" s="51" t="str">
        <f aca="false">IF(D$69=0,"",D72/D$69)</f>
        <v/>
      </c>
      <c r="K72" s="51" t="str">
        <f aca="false">IF(E$69=0,"",E72/E$69)</f>
        <v/>
      </c>
      <c r="L72" s="51" t="str">
        <f aca="false">IF(F$69=0,"",F72/F$69)</f>
        <v/>
      </c>
      <c r="M72" s="13" t="str">
        <f aca="false">IF(COUNT(H72:K72)&lt;2,"",MAX(H72:K72)-MIN(H72:K72))</f>
        <v/>
      </c>
      <c r="N72" s="52" t="s">
        <v>204</v>
      </c>
      <c r="O72" s="53" t="str">
        <f aca="false">IF(M72="","",M72+ROW()/1000000000)</f>
        <v/>
      </c>
      <c r="P72" s="52" t="str">
        <f aca="false">IF(M72="","",INDEX($A$5:$A$8,MATCH(MAX(H72:K72),H72:K72,0)))</f>
        <v/>
      </c>
      <c r="Q72" s="52" t="str">
        <f aca="false">IF(M72="","",INDEX($A$5:$A$8,MATCH(MIN(H72:K72),H72:K72,0)))</f>
        <v/>
      </c>
    </row>
    <row r="75" customFormat="false" ht="31.5" hidden="false" customHeight="true" outlineLevel="0" collapsed="false">
      <c r="A75" s="22" t="s">
        <v>86</v>
      </c>
      <c r="B75" s="4"/>
      <c r="C75" s="4"/>
      <c r="D75" s="4"/>
      <c r="E75" s="4"/>
      <c r="F75" s="4"/>
      <c r="G75" s="4"/>
      <c r="H75" s="4"/>
      <c r="I75" s="4"/>
      <c r="J75" s="4"/>
      <c r="K75" s="4"/>
      <c r="L75" s="4"/>
      <c r="M75" s="4"/>
    </row>
    <row r="76" customFormat="false" ht="23.85" hidden="false" customHeight="true" outlineLevel="0" collapsed="false">
      <c r="A76" s="23" t="s">
        <v>194</v>
      </c>
      <c r="B76" s="48" t="s">
        <v>99</v>
      </c>
      <c r="C76" s="48"/>
      <c r="D76" s="48"/>
      <c r="E76" s="48"/>
      <c r="F76" s="48"/>
      <c r="H76" s="48" t="s">
        <v>195</v>
      </c>
      <c r="I76" s="48"/>
      <c r="J76" s="48"/>
      <c r="K76" s="48"/>
      <c r="L76" s="48"/>
      <c r="M76" s="49" t="s">
        <v>196</v>
      </c>
    </row>
    <row r="77" customFormat="false" ht="37.5" hidden="false" customHeight="true" outlineLevel="0" collapsed="false">
      <c r="A77" s="50"/>
      <c r="B77" s="33" t="str">
        <f aca="false">$A$5</f>
        <v>18 to 24</v>
      </c>
      <c r="C77" s="33" t="str">
        <f aca="false">$A$6</f>
        <v>25 to 34</v>
      </c>
      <c r="D77" s="33" t="str">
        <f aca="false">$A$7</f>
        <v>35 to 44</v>
      </c>
      <c r="E77" s="33" t="str">
        <f aca="false">$A$8</f>
        <v>45 or older</v>
      </c>
      <c r="F77" s="33" t="s">
        <v>197</v>
      </c>
      <c r="H77" s="33" t="str">
        <f aca="false">$A$5</f>
        <v>18 to 24</v>
      </c>
      <c r="I77" s="33" t="str">
        <f aca="false">$A$6</f>
        <v>25 to 34</v>
      </c>
      <c r="J77" s="33" t="str">
        <f aca="false">$A$7</f>
        <v>35 to 44</v>
      </c>
      <c r="K77" s="33" t="str">
        <f aca="false">$A$8</f>
        <v>45 or older</v>
      </c>
      <c r="L77" s="33" t="s">
        <v>197</v>
      </c>
    </row>
    <row r="78" customFormat="false" ht="15" hidden="false" customHeight="false" outlineLevel="0" collapsed="false">
      <c r="A78" s="26" t="s">
        <v>198</v>
      </c>
      <c r="B78" s="27" t="n">
        <f aca="false">COUNTIFS(Responses!$B$2:$B$1000,$A$5,Responses!$J$2:$J$1000,"&lt;&gt;")</f>
        <v>0</v>
      </c>
      <c r="C78" s="27" t="n">
        <f aca="false">COUNTIFS(Responses!$B$2:$B$1000,$A$6,Responses!$J$2:$J$1000,"&lt;&gt;")</f>
        <v>0</v>
      </c>
      <c r="D78" s="27" t="n">
        <f aca="false">COUNTIFS(Responses!$B$2:$B$1000,$A$7,Responses!$J$2:$J$1000,"&lt;&gt;")</f>
        <v>0</v>
      </c>
      <c r="E78" s="27" t="n">
        <f aca="false">COUNTIFS(Responses!$B$2:$B$1000,$A$8,Responses!$J$2:$J$1000,"&lt;&gt;")</f>
        <v>0</v>
      </c>
      <c r="F78" s="27" t="n">
        <f aca="false">COUNTA(Responses!$J$2:$J$1000)</f>
        <v>0</v>
      </c>
    </row>
    <row r="79" customFormat="false" ht="15" hidden="false" customHeight="false" outlineLevel="0" collapsed="false">
      <c r="A79" s="25" t="s">
        <v>207</v>
      </c>
      <c r="B79" s="11" t="n">
        <f aca="false">COUNTIFS(Responses!$J$2:$J$1000,"&gt;=4",Responses!$B$2:$B$1000,$A$5)</f>
        <v>0</v>
      </c>
      <c r="C79" s="11" t="n">
        <f aca="false">COUNTIFS(Responses!$J$2:$J$1000,"&gt;=4",Responses!$B$2:$B$1000,$A$6)</f>
        <v>0</v>
      </c>
      <c r="D79" s="11" t="n">
        <f aca="false">COUNTIFS(Responses!$J$2:$J$1000,"&gt;=4",Responses!$B$2:$B$1000,$A$7)</f>
        <v>0</v>
      </c>
      <c r="E79" s="11" t="n">
        <f aca="false">COUNTIFS(Responses!$J$2:$J$1000,"&gt;=4",Responses!$B$2:$B$1000,$A$8)</f>
        <v>0</v>
      </c>
      <c r="F79" s="11" t="n">
        <f aca="false">COUNTIF(Responses!$J$2:$J$1000,"&gt;=4")</f>
        <v>0</v>
      </c>
      <c r="H79" s="51" t="str">
        <f aca="false">IF(B$78=0,"",B79/B$78)</f>
        <v/>
      </c>
      <c r="I79" s="51" t="str">
        <f aca="false">IF(C$78=0,"",C79/C$78)</f>
        <v/>
      </c>
      <c r="J79" s="51" t="str">
        <f aca="false">IF(D$78=0,"",D79/D$78)</f>
        <v/>
      </c>
      <c r="K79" s="51" t="str">
        <f aca="false">IF(E$78=0,"",E79/E$78)</f>
        <v/>
      </c>
      <c r="L79" s="51" t="str">
        <f aca="false">IF(F$78=0,"",F79/F$78)</f>
        <v/>
      </c>
      <c r="M79" s="13" t="str">
        <f aca="false">IF(COUNT(H79:K79)&lt;2,"",MAX(H79:K79)-MIN(H79:K79))</f>
        <v/>
      </c>
      <c r="N79" s="52" t="s">
        <v>208</v>
      </c>
      <c r="O79" s="53" t="str">
        <f aca="false">IF(M79="","",M79+ROW()/1000000000)</f>
        <v/>
      </c>
      <c r="P79" s="52" t="str">
        <f aca="false">IF(M79="","",INDEX($A$5:$A$8,MATCH(MAX(H79:K79),H79:K79,0)))</f>
        <v/>
      </c>
      <c r="Q79" s="52" t="str">
        <f aca="false">IF(M79="","",INDEX($A$5:$A$8,MATCH(MIN(H79:K79),H79:K79,0)))</f>
        <v/>
      </c>
    </row>
    <row r="80" customFormat="false" ht="15" hidden="false" customHeight="false" outlineLevel="0" collapsed="false">
      <c r="A80" s="26" t="s">
        <v>209</v>
      </c>
      <c r="B80" s="25"/>
      <c r="C80" s="25"/>
      <c r="D80" s="25"/>
      <c r="E80" s="25"/>
      <c r="F80" s="25"/>
      <c r="H80" s="35" t="str">
        <f aca="false">IFERROR(AVERAGEIFS(Responses!$J$2:$J$1000,Responses!$B$2:$B$1000,$A$5),"")</f>
        <v/>
      </c>
      <c r="I80" s="35" t="str">
        <f aca="false">IFERROR(AVERAGEIFS(Responses!$J$2:$J$1000,Responses!$B$2:$B$1000,$A$6),"")</f>
        <v/>
      </c>
      <c r="J80" s="35" t="str">
        <f aca="false">IFERROR(AVERAGEIFS(Responses!$J$2:$J$1000,Responses!$B$2:$B$1000,$A$7),"")</f>
        <v/>
      </c>
      <c r="K80" s="35" t="str">
        <f aca="false">IFERROR(AVERAGEIFS(Responses!$J$2:$J$1000,Responses!$B$2:$B$1000,$A$8),"")</f>
        <v/>
      </c>
      <c r="L80" s="35" t="str">
        <f aca="false">IFERROR(AVERAGE(Responses!$J$2:$J$1000),"")</f>
        <v/>
      </c>
      <c r="M80" s="54" t="str">
        <f aca="false">IF(COUNT(H80:K80)&lt;2,"",MAX(H80:K80)-MIN(H80:K80))</f>
        <v/>
      </c>
    </row>
    <row r="83" customFormat="false" ht="31.5" hidden="false" customHeight="true" outlineLevel="0" collapsed="false">
      <c r="A83" s="22" t="s">
        <v>87</v>
      </c>
      <c r="B83" s="4"/>
      <c r="C83" s="4"/>
      <c r="D83" s="4"/>
      <c r="E83" s="4"/>
      <c r="F83" s="4"/>
      <c r="G83" s="4"/>
      <c r="H83" s="4"/>
      <c r="I83" s="4"/>
      <c r="J83" s="4"/>
      <c r="K83" s="4"/>
      <c r="L83" s="4"/>
      <c r="M83" s="4"/>
    </row>
    <row r="84" customFormat="false" ht="23.85" hidden="false" customHeight="true" outlineLevel="0" collapsed="false">
      <c r="A84" s="23" t="s">
        <v>194</v>
      </c>
      <c r="B84" s="48" t="s">
        <v>99</v>
      </c>
      <c r="C84" s="48"/>
      <c r="D84" s="48"/>
      <c r="E84" s="48"/>
      <c r="F84" s="48"/>
      <c r="H84" s="48" t="s">
        <v>195</v>
      </c>
      <c r="I84" s="48"/>
      <c r="J84" s="48"/>
      <c r="K84" s="48"/>
      <c r="L84" s="48"/>
      <c r="M84" s="49" t="s">
        <v>196</v>
      </c>
    </row>
    <row r="85" customFormat="false" ht="37.5" hidden="false" customHeight="true" outlineLevel="0" collapsed="false">
      <c r="A85" s="50"/>
      <c r="B85" s="33" t="str">
        <f aca="false">$A$5</f>
        <v>18 to 24</v>
      </c>
      <c r="C85" s="33" t="str">
        <f aca="false">$A$6</f>
        <v>25 to 34</v>
      </c>
      <c r="D85" s="33" t="str">
        <f aca="false">$A$7</f>
        <v>35 to 44</v>
      </c>
      <c r="E85" s="33" t="str">
        <f aca="false">$A$8</f>
        <v>45 or older</v>
      </c>
      <c r="F85" s="33" t="s">
        <v>197</v>
      </c>
      <c r="H85" s="33" t="str">
        <f aca="false">$A$5</f>
        <v>18 to 24</v>
      </c>
      <c r="I85" s="33" t="str">
        <f aca="false">$A$6</f>
        <v>25 to 34</v>
      </c>
      <c r="J85" s="33" t="str">
        <f aca="false">$A$7</f>
        <v>35 to 44</v>
      </c>
      <c r="K85" s="33" t="str">
        <f aca="false">$A$8</f>
        <v>45 or older</v>
      </c>
      <c r="L85" s="33" t="s">
        <v>197</v>
      </c>
    </row>
    <row r="86" customFormat="false" ht="15" hidden="false" customHeight="false" outlineLevel="0" collapsed="false">
      <c r="A86" s="26" t="s">
        <v>198</v>
      </c>
      <c r="B86" s="27" t="n">
        <f aca="false">COUNTIFS(Responses!$B$2:$B$1000,$A$5,Responses!$K$2:$K$1000,"&lt;&gt;")</f>
        <v>0</v>
      </c>
      <c r="C86" s="27" t="n">
        <f aca="false">COUNTIFS(Responses!$B$2:$B$1000,$A$6,Responses!$K$2:$K$1000,"&lt;&gt;")</f>
        <v>0</v>
      </c>
      <c r="D86" s="27" t="n">
        <f aca="false">COUNTIFS(Responses!$B$2:$B$1000,$A$7,Responses!$K$2:$K$1000,"&lt;&gt;")</f>
        <v>0</v>
      </c>
      <c r="E86" s="27" t="n">
        <f aca="false">COUNTIFS(Responses!$B$2:$B$1000,$A$8,Responses!$K$2:$K$1000,"&lt;&gt;")</f>
        <v>0</v>
      </c>
      <c r="F86" s="27" t="n">
        <f aca="false">COUNTA(Responses!$K$2:$K$1000)</f>
        <v>0</v>
      </c>
    </row>
    <row r="87" customFormat="false" ht="15" hidden="false" customHeight="false" outlineLevel="0" collapsed="false">
      <c r="A87" s="25" t="s">
        <v>150</v>
      </c>
      <c r="B87" s="11" t="n">
        <f aca="false">COUNTIFS(Responses!$K$2:$K$1000,$A87,Responses!$B$2:$B$1000,$A$5)</f>
        <v>0</v>
      </c>
      <c r="C87" s="11" t="n">
        <f aca="false">COUNTIFS(Responses!$K$2:$K$1000,$A87,Responses!$B$2:$B$1000,$A$6)</f>
        <v>0</v>
      </c>
      <c r="D87" s="11" t="n">
        <f aca="false">COUNTIFS(Responses!$K$2:$K$1000,$A87,Responses!$B$2:$B$1000,$A$7)</f>
        <v>0</v>
      </c>
      <c r="E87" s="11" t="n">
        <f aca="false">COUNTIFS(Responses!$K$2:$K$1000,$A87,Responses!$B$2:$B$1000,$A$8)</f>
        <v>0</v>
      </c>
      <c r="F87" s="11" t="n">
        <f aca="false">COUNTIF(Responses!$K$2:$K$1000,$A87)</f>
        <v>0</v>
      </c>
      <c r="H87" s="51" t="str">
        <f aca="false">IF(B$86=0,"",B87/B$86)</f>
        <v/>
      </c>
      <c r="I87" s="51" t="str">
        <f aca="false">IF(C$86=0,"",C87/C$86)</f>
        <v/>
      </c>
      <c r="J87" s="51" t="str">
        <f aca="false">IF(D$86=0,"",D87/D$86)</f>
        <v/>
      </c>
      <c r="K87" s="51" t="str">
        <f aca="false">IF(E$86=0,"",E87/E$86)</f>
        <v/>
      </c>
      <c r="L87" s="51" t="str">
        <f aca="false">IF(F$86=0,"",F87/F$86)</f>
        <v/>
      </c>
      <c r="M87" s="13" t="str">
        <f aca="false">IF(COUNT(H87:K87)&lt;2,"",MAX(H87:K87)-MIN(H87:K87))</f>
        <v/>
      </c>
      <c r="N87" s="52" t="s">
        <v>210</v>
      </c>
      <c r="O87" s="53" t="str">
        <f aca="false">IF(M87="","",M87+ROW()/1000000000)</f>
        <v/>
      </c>
      <c r="P87" s="52" t="str">
        <f aca="false">IF(M87="","",INDEX($A$5:$A$8,MATCH(MAX(H87:K87),H87:K87,0)))</f>
        <v/>
      </c>
      <c r="Q87" s="52" t="str">
        <f aca="false">IF(M87="","",INDEX($A$5:$A$8,MATCH(MIN(H87:K87),H87:K87,0)))</f>
        <v/>
      </c>
    </row>
    <row r="88" customFormat="false" ht="15" hidden="false" customHeight="false" outlineLevel="0" collapsed="false">
      <c r="A88" s="25" t="s">
        <v>54</v>
      </c>
      <c r="B88" s="11" t="n">
        <f aca="false">COUNTIFS(Responses!$K$2:$K$1000,$A88,Responses!$B$2:$B$1000,$A$5)</f>
        <v>0</v>
      </c>
      <c r="C88" s="11" t="n">
        <f aca="false">COUNTIFS(Responses!$K$2:$K$1000,$A88,Responses!$B$2:$B$1000,$A$6)</f>
        <v>0</v>
      </c>
      <c r="D88" s="11" t="n">
        <f aca="false">COUNTIFS(Responses!$K$2:$K$1000,$A88,Responses!$B$2:$B$1000,$A$7)</f>
        <v>0</v>
      </c>
      <c r="E88" s="11" t="n">
        <f aca="false">COUNTIFS(Responses!$K$2:$K$1000,$A88,Responses!$B$2:$B$1000,$A$8)</f>
        <v>0</v>
      </c>
      <c r="F88" s="11" t="n">
        <f aca="false">COUNTIF(Responses!$K$2:$K$1000,$A88)</f>
        <v>0</v>
      </c>
      <c r="H88" s="51" t="str">
        <f aca="false">IF(B$86=0,"",B88/B$86)</f>
        <v/>
      </c>
      <c r="I88" s="51" t="str">
        <f aca="false">IF(C$86=0,"",C88/C$86)</f>
        <v/>
      </c>
      <c r="J88" s="51" t="str">
        <f aca="false">IF(D$86=0,"",D88/D$86)</f>
        <v/>
      </c>
      <c r="K88" s="51" t="str">
        <f aca="false">IF(E$86=0,"",E88/E$86)</f>
        <v/>
      </c>
      <c r="L88" s="51" t="str">
        <f aca="false">IF(F$86=0,"",F88/F$86)</f>
        <v/>
      </c>
      <c r="M88" s="13" t="str">
        <f aca="false">IF(COUNT(H88:K88)&lt;2,"",MAX(H88:K88)-MIN(H88:K88))</f>
        <v/>
      </c>
      <c r="N88" s="52" t="s">
        <v>210</v>
      </c>
      <c r="O88" s="53" t="str">
        <f aca="false">IF(M88="","",M88+ROW()/1000000000)</f>
        <v/>
      </c>
      <c r="P88" s="52" t="str">
        <f aca="false">IF(M88="","",INDEX($A$5:$A$8,MATCH(MAX(H88:K88),H88:K88,0)))</f>
        <v/>
      </c>
      <c r="Q88" s="52" t="str">
        <f aca="false">IF(M88="","",INDEX($A$5:$A$8,MATCH(MIN(H88:K88),H88:K88,0)))</f>
        <v/>
      </c>
    </row>
    <row r="89" customFormat="false" ht="15" hidden="false" customHeight="false" outlineLevel="0" collapsed="false">
      <c r="A89" s="25" t="s">
        <v>151</v>
      </c>
      <c r="B89" s="11" t="n">
        <f aca="false">COUNTIFS(Responses!$K$2:$K$1000,$A89,Responses!$B$2:$B$1000,$A$5)</f>
        <v>0</v>
      </c>
      <c r="C89" s="11" t="n">
        <f aca="false">COUNTIFS(Responses!$K$2:$K$1000,$A89,Responses!$B$2:$B$1000,$A$6)</f>
        <v>0</v>
      </c>
      <c r="D89" s="11" t="n">
        <f aca="false">COUNTIFS(Responses!$K$2:$K$1000,$A89,Responses!$B$2:$B$1000,$A$7)</f>
        <v>0</v>
      </c>
      <c r="E89" s="11" t="n">
        <f aca="false">COUNTIFS(Responses!$K$2:$K$1000,$A89,Responses!$B$2:$B$1000,$A$8)</f>
        <v>0</v>
      </c>
      <c r="F89" s="11" t="n">
        <f aca="false">COUNTIF(Responses!$K$2:$K$1000,$A89)</f>
        <v>0</v>
      </c>
      <c r="H89" s="51" t="str">
        <f aca="false">IF(B$86=0,"",B89/B$86)</f>
        <v/>
      </c>
      <c r="I89" s="51" t="str">
        <f aca="false">IF(C$86=0,"",C89/C$86)</f>
        <v/>
      </c>
      <c r="J89" s="51" t="str">
        <f aca="false">IF(D$86=0,"",D89/D$86)</f>
        <v/>
      </c>
      <c r="K89" s="51" t="str">
        <f aca="false">IF(E$86=0,"",E89/E$86)</f>
        <v/>
      </c>
      <c r="L89" s="51" t="str">
        <f aca="false">IF(F$86=0,"",F89/F$86)</f>
        <v/>
      </c>
      <c r="M89" s="13" t="str">
        <f aca="false">IF(COUNT(H89:K89)&lt;2,"",MAX(H89:K89)-MIN(H89:K89))</f>
        <v/>
      </c>
      <c r="N89" s="52" t="s">
        <v>210</v>
      </c>
      <c r="O89" s="53" t="str">
        <f aca="false">IF(M89="","",M89+ROW()/1000000000)</f>
        <v/>
      </c>
      <c r="P89" s="52" t="str">
        <f aca="false">IF(M89="","",INDEX($A$5:$A$8,MATCH(MAX(H89:K89),H89:K89,0)))</f>
        <v/>
      </c>
      <c r="Q89" s="52" t="str">
        <f aca="false">IF(M89="","",INDEX($A$5:$A$8,MATCH(MIN(H89:K89),H89:K89,0)))</f>
        <v/>
      </c>
    </row>
    <row r="90" customFormat="false" ht="15" hidden="false" customHeight="false" outlineLevel="0" collapsed="false">
      <c r="A90" s="25" t="s">
        <v>152</v>
      </c>
      <c r="B90" s="11" t="n">
        <f aca="false">COUNTIFS(Responses!$K$2:$K$1000,$A90,Responses!$B$2:$B$1000,$A$5)</f>
        <v>0</v>
      </c>
      <c r="C90" s="11" t="n">
        <f aca="false">COUNTIFS(Responses!$K$2:$K$1000,$A90,Responses!$B$2:$B$1000,$A$6)</f>
        <v>0</v>
      </c>
      <c r="D90" s="11" t="n">
        <f aca="false">COUNTIFS(Responses!$K$2:$K$1000,$A90,Responses!$B$2:$B$1000,$A$7)</f>
        <v>0</v>
      </c>
      <c r="E90" s="11" t="n">
        <f aca="false">COUNTIFS(Responses!$K$2:$K$1000,$A90,Responses!$B$2:$B$1000,$A$8)</f>
        <v>0</v>
      </c>
      <c r="F90" s="11" t="n">
        <f aca="false">COUNTIF(Responses!$K$2:$K$1000,$A90)</f>
        <v>0</v>
      </c>
      <c r="H90" s="51" t="str">
        <f aca="false">IF(B$86=0,"",B90/B$86)</f>
        <v/>
      </c>
      <c r="I90" s="51" t="str">
        <f aca="false">IF(C$86=0,"",C90/C$86)</f>
        <v/>
      </c>
      <c r="J90" s="51" t="str">
        <f aca="false">IF(D$86=0,"",D90/D$86)</f>
        <v/>
      </c>
      <c r="K90" s="51" t="str">
        <f aca="false">IF(E$86=0,"",E90/E$86)</f>
        <v/>
      </c>
      <c r="L90" s="51" t="str">
        <f aca="false">IF(F$86=0,"",F90/F$86)</f>
        <v/>
      </c>
      <c r="M90" s="13" t="str">
        <f aca="false">IF(COUNT(H90:K90)&lt;2,"",MAX(H90:K90)-MIN(H90:K90))</f>
        <v/>
      </c>
      <c r="N90" s="52" t="s">
        <v>210</v>
      </c>
      <c r="O90" s="53" t="str">
        <f aca="false">IF(M90="","",M90+ROW()/1000000000)</f>
        <v/>
      </c>
      <c r="P90" s="52" t="str">
        <f aca="false">IF(M90="","",INDEX($A$5:$A$8,MATCH(MAX(H90:K90),H90:K90,0)))</f>
        <v/>
      </c>
      <c r="Q90" s="52" t="str">
        <f aca="false">IF(M90="","",INDEX($A$5:$A$8,MATCH(MIN(H90:K90),H90:K90,0)))</f>
        <v/>
      </c>
    </row>
    <row r="93" customFormat="false" ht="31.5" hidden="false" customHeight="true" outlineLevel="0" collapsed="false">
      <c r="A93" s="22" t="s">
        <v>88</v>
      </c>
      <c r="B93" s="4"/>
      <c r="C93" s="4"/>
      <c r="D93" s="4"/>
      <c r="E93" s="4"/>
      <c r="F93" s="4"/>
      <c r="G93" s="4"/>
      <c r="H93" s="4"/>
      <c r="I93" s="4"/>
      <c r="J93" s="4"/>
      <c r="K93" s="4"/>
      <c r="L93" s="4"/>
      <c r="M93" s="4"/>
    </row>
    <row r="94" customFormat="false" ht="23.85" hidden="false" customHeight="true" outlineLevel="0" collapsed="false">
      <c r="A94" s="23" t="s">
        <v>194</v>
      </c>
      <c r="B94" s="48" t="s">
        <v>99</v>
      </c>
      <c r="C94" s="48"/>
      <c r="D94" s="48"/>
      <c r="E94" s="48"/>
      <c r="F94" s="48"/>
      <c r="H94" s="48" t="s">
        <v>195</v>
      </c>
      <c r="I94" s="48"/>
      <c r="J94" s="48"/>
      <c r="K94" s="48"/>
      <c r="L94" s="48"/>
      <c r="M94" s="49" t="s">
        <v>196</v>
      </c>
    </row>
    <row r="95" customFormat="false" ht="37.5" hidden="false" customHeight="true" outlineLevel="0" collapsed="false">
      <c r="A95" s="50"/>
      <c r="B95" s="33" t="str">
        <f aca="false">$A$5</f>
        <v>18 to 24</v>
      </c>
      <c r="C95" s="33" t="str">
        <f aca="false">$A$6</f>
        <v>25 to 34</v>
      </c>
      <c r="D95" s="33" t="str">
        <f aca="false">$A$7</f>
        <v>35 to 44</v>
      </c>
      <c r="E95" s="33" t="str">
        <f aca="false">$A$8</f>
        <v>45 or older</v>
      </c>
      <c r="F95" s="33" t="s">
        <v>197</v>
      </c>
      <c r="H95" s="33" t="str">
        <f aca="false">$A$5</f>
        <v>18 to 24</v>
      </c>
      <c r="I95" s="33" t="str">
        <f aca="false">$A$6</f>
        <v>25 to 34</v>
      </c>
      <c r="J95" s="33" t="str">
        <f aca="false">$A$7</f>
        <v>35 to 44</v>
      </c>
      <c r="K95" s="33" t="str">
        <f aca="false">$A$8</f>
        <v>45 or older</v>
      </c>
      <c r="L95" s="33" t="s">
        <v>197</v>
      </c>
    </row>
    <row r="96" customFormat="false" ht="15" hidden="false" customHeight="false" outlineLevel="0" collapsed="false">
      <c r="A96" s="26" t="s">
        <v>198</v>
      </c>
      <c r="B96" s="27" t="n">
        <f aca="false">COUNTIFS(Responses!$B$2:$B$1000,$A$5,Responses!$L$2:$L$1000,"&lt;&gt;")</f>
        <v>0</v>
      </c>
      <c r="C96" s="27" t="n">
        <f aca="false">COUNTIFS(Responses!$B$2:$B$1000,$A$6,Responses!$L$2:$L$1000,"&lt;&gt;")</f>
        <v>0</v>
      </c>
      <c r="D96" s="27" t="n">
        <f aca="false">COUNTIFS(Responses!$B$2:$B$1000,$A$7,Responses!$L$2:$L$1000,"&lt;&gt;")</f>
        <v>0</v>
      </c>
      <c r="E96" s="27" t="n">
        <f aca="false">COUNTIFS(Responses!$B$2:$B$1000,$A$8,Responses!$L$2:$L$1000,"&lt;&gt;")</f>
        <v>0</v>
      </c>
      <c r="F96" s="27" t="n">
        <f aca="false">COUNTA(Responses!$L$2:$L$1000)</f>
        <v>0</v>
      </c>
    </row>
    <row r="97" customFormat="false" ht="15" hidden="false" customHeight="false" outlineLevel="0" collapsed="false">
      <c r="A97" s="25" t="s">
        <v>153</v>
      </c>
      <c r="B97" s="11" t="n">
        <f aca="false">COUNTIFS(Responses!$L$2:$L$1000,$A97,Responses!$B$2:$B$1000,$A$5)</f>
        <v>0</v>
      </c>
      <c r="C97" s="11" t="n">
        <f aca="false">COUNTIFS(Responses!$L$2:$L$1000,$A97,Responses!$B$2:$B$1000,$A$6)</f>
        <v>0</v>
      </c>
      <c r="D97" s="11" t="n">
        <f aca="false">COUNTIFS(Responses!$L$2:$L$1000,$A97,Responses!$B$2:$B$1000,$A$7)</f>
        <v>0</v>
      </c>
      <c r="E97" s="11" t="n">
        <f aca="false">COUNTIFS(Responses!$L$2:$L$1000,$A97,Responses!$B$2:$B$1000,$A$8)</f>
        <v>0</v>
      </c>
      <c r="F97" s="11" t="n">
        <f aca="false">COUNTIF(Responses!$L$2:$L$1000,$A97)</f>
        <v>0</v>
      </c>
      <c r="H97" s="51" t="str">
        <f aca="false">IF(B$96=0,"",B97/B$96)</f>
        <v/>
      </c>
      <c r="I97" s="51" t="str">
        <f aca="false">IF(C$96=0,"",C97/C$96)</f>
        <v/>
      </c>
      <c r="J97" s="51" t="str">
        <f aca="false">IF(D$96=0,"",D97/D$96)</f>
        <v/>
      </c>
      <c r="K97" s="51" t="str">
        <f aca="false">IF(E$96=0,"",E97/E$96)</f>
        <v/>
      </c>
      <c r="L97" s="51" t="str">
        <f aca="false">IF(F$96=0,"",F97/F$96)</f>
        <v/>
      </c>
      <c r="M97" s="13" t="str">
        <f aca="false">IF(COUNT(H97:K97)&lt;2,"",MAX(H97:K97)-MIN(H97:K97))</f>
        <v/>
      </c>
      <c r="N97" s="52" t="s">
        <v>211</v>
      </c>
      <c r="O97" s="53" t="str">
        <f aca="false">IF(M97="","",M97+ROW()/1000000000)</f>
        <v/>
      </c>
      <c r="P97" s="52" t="str">
        <f aca="false">IF(M97="","",INDEX($A$5:$A$8,MATCH(MAX(H97:K97),H97:K97,0)))</f>
        <v/>
      </c>
      <c r="Q97" s="52" t="str">
        <f aca="false">IF(M97="","",INDEX($A$5:$A$8,MATCH(MIN(H97:K97),H97:K97,0)))</f>
        <v/>
      </c>
    </row>
    <row r="98" customFormat="false" ht="15" hidden="false" customHeight="false" outlineLevel="0" collapsed="false">
      <c r="A98" s="25" t="s">
        <v>56</v>
      </c>
      <c r="B98" s="11" t="n">
        <f aca="false">COUNTIFS(Responses!$L$2:$L$1000,$A98,Responses!$B$2:$B$1000,$A$5)</f>
        <v>0</v>
      </c>
      <c r="C98" s="11" t="n">
        <f aca="false">COUNTIFS(Responses!$L$2:$L$1000,$A98,Responses!$B$2:$B$1000,$A$6)</f>
        <v>0</v>
      </c>
      <c r="D98" s="11" t="n">
        <f aca="false">COUNTIFS(Responses!$L$2:$L$1000,$A98,Responses!$B$2:$B$1000,$A$7)</f>
        <v>0</v>
      </c>
      <c r="E98" s="11" t="n">
        <f aca="false">COUNTIFS(Responses!$L$2:$L$1000,$A98,Responses!$B$2:$B$1000,$A$8)</f>
        <v>0</v>
      </c>
      <c r="F98" s="11" t="n">
        <f aca="false">COUNTIF(Responses!$L$2:$L$1000,$A98)</f>
        <v>0</v>
      </c>
      <c r="H98" s="51" t="str">
        <f aca="false">IF(B$96=0,"",B98/B$96)</f>
        <v/>
      </c>
      <c r="I98" s="51" t="str">
        <f aca="false">IF(C$96=0,"",C98/C$96)</f>
        <v/>
      </c>
      <c r="J98" s="51" t="str">
        <f aca="false">IF(D$96=0,"",D98/D$96)</f>
        <v/>
      </c>
      <c r="K98" s="51" t="str">
        <f aca="false">IF(E$96=0,"",E98/E$96)</f>
        <v/>
      </c>
      <c r="L98" s="51" t="str">
        <f aca="false">IF(F$96=0,"",F98/F$96)</f>
        <v/>
      </c>
      <c r="M98" s="13" t="str">
        <f aca="false">IF(COUNT(H98:K98)&lt;2,"",MAX(H98:K98)-MIN(H98:K98))</f>
        <v/>
      </c>
      <c r="N98" s="52" t="s">
        <v>211</v>
      </c>
      <c r="O98" s="53" t="str">
        <f aca="false">IF(M98="","",M98+ROW()/1000000000)</f>
        <v/>
      </c>
      <c r="P98" s="52" t="str">
        <f aca="false">IF(M98="","",INDEX($A$5:$A$8,MATCH(MAX(H98:K98),H98:K98,0)))</f>
        <v/>
      </c>
      <c r="Q98" s="52" t="str">
        <f aca="false">IF(M98="","",INDEX($A$5:$A$8,MATCH(MIN(H98:K98),H98:K98,0)))</f>
        <v/>
      </c>
    </row>
    <row r="99" customFormat="false" ht="15" hidden="false" customHeight="false" outlineLevel="0" collapsed="false">
      <c r="A99" s="25" t="s">
        <v>154</v>
      </c>
      <c r="B99" s="11" t="n">
        <f aca="false">COUNTIFS(Responses!$L$2:$L$1000,$A99,Responses!$B$2:$B$1000,$A$5)</f>
        <v>0</v>
      </c>
      <c r="C99" s="11" t="n">
        <f aca="false">COUNTIFS(Responses!$L$2:$L$1000,$A99,Responses!$B$2:$B$1000,$A$6)</f>
        <v>0</v>
      </c>
      <c r="D99" s="11" t="n">
        <f aca="false">COUNTIFS(Responses!$L$2:$L$1000,$A99,Responses!$B$2:$B$1000,$A$7)</f>
        <v>0</v>
      </c>
      <c r="E99" s="11" t="n">
        <f aca="false">COUNTIFS(Responses!$L$2:$L$1000,$A99,Responses!$B$2:$B$1000,$A$8)</f>
        <v>0</v>
      </c>
      <c r="F99" s="11" t="n">
        <f aca="false">COUNTIF(Responses!$L$2:$L$1000,$A99)</f>
        <v>0</v>
      </c>
      <c r="H99" s="51" t="str">
        <f aca="false">IF(B$96=0,"",B99/B$96)</f>
        <v/>
      </c>
      <c r="I99" s="51" t="str">
        <f aca="false">IF(C$96=0,"",C99/C$96)</f>
        <v/>
      </c>
      <c r="J99" s="51" t="str">
        <f aca="false">IF(D$96=0,"",D99/D$96)</f>
        <v/>
      </c>
      <c r="K99" s="51" t="str">
        <f aca="false">IF(E$96=0,"",E99/E$96)</f>
        <v/>
      </c>
      <c r="L99" s="51" t="str">
        <f aca="false">IF(F$96=0,"",F99/F$96)</f>
        <v/>
      </c>
      <c r="M99" s="13" t="str">
        <f aca="false">IF(COUNT(H99:K99)&lt;2,"",MAX(H99:K99)-MIN(H99:K99))</f>
        <v/>
      </c>
      <c r="N99" s="52" t="s">
        <v>211</v>
      </c>
      <c r="O99" s="53" t="str">
        <f aca="false">IF(M99="","",M99+ROW()/1000000000)</f>
        <v/>
      </c>
      <c r="P99" s="52" t="str">
        <f aca="false">IF(M99="","",INDEX($A$5:$A$8,MATCH(MAX(H99:K99),H99:K99,0)))</f>
        <v/>
      </c>
      <c r="Q99" s="52" t="str">
        <f aca="false">IF(M99="","",INDEX($A$5:$A$8,MATCH(MIN(H99:K99),H99:K99,0)))</f>
        <v/>
      </c>
    </row>
    <row r="100" customFormat="false" ht="15" hidden="false" customHeight="false" outlineLevel="0" collapsed="false">
      <c r="A100" s="25" t="s">
        <v>155</v>
      </c>
      <c r="B100" s="11" t="n">
        <f aca="false">COUNTIFS(Responses!$L$2:$L$1000,$A100,Responses!$B$2:$B$1000,$A$5)</f>
        <v>0</v>
      </c>
      <c r="C100" s="11" t="n">
        <f aca="false">COUNTIFS(Responses!$L$2:$L$1000,$A100,Responses!$B$2:$B$1000,$A$6)</f>
        <v>0</v>
      </c>
      <c r="D100" s="11" t="n">
        <f aca="false">COUNTIFS(Responses!$L$2:$L$1000,$A100,Responses!$B$2:$B$1000,$A$7)</f>
        <v>0</v>
      </c>
      <c r="E100" s="11" t="n">
        <f aca="false">COUNTIFS(Responses!$L$2:$L$1000,$A100,Responses!$B$2:$B$1000,$A$8)</f>
        <v>0</v>
      </c>
      <c r="F100" s="11" t="n">
        <f aca="false">COUNTIF(Responses!$L$2:$L$1000,$A100)</f>
        <v>0</v>
      </c>
      <c r="H100" s="51" t="str">
        <f aca="false">IF(B$96=0,"",B100/B$96)</f>
        <v/>
      </c>
      <c r="I100" s="51" t="str">
        <f aca="false">IF(C$96=0,"",C100/C$96)</f>
        <v/>
      </c>
      <c r="J100" s="51" t="str">
        <f aca="false">IF(D$96=0,"",D100/D$96)</f>
        <v/>
      </c>
      <c r="K100" s="51" t="str">
        <f aca="false">IF(E$96=0,"",E100/E$96)</f>
        <v/>
      </c>
      <c r="L100" s="51" t="str">
        <f aca="false">IF(F$96=0,"",F100/F$96)</f>
        <v/>
      </c>
      <c r="M100" s="13" t="str">
        <f aca="false">IF(COUNT(H100:K100)&lt;2,"",MAX(H100:K100)-MIN(H100:K100))</f>
        <v/>
      </c>
      <c r="N100" s="52" t="s">
        <v>211</v>
      </c>
      <c r="O100" s="53" t="str">
        <f aca="false">IF(M100="","",M100+ROW()/1000000000)</f>
        <v/>
      </c>
      <c r="P100" s="52" t="str">
        <f aca="false">IF(M100="","",INDEX($A$5:$A$8,MATCH(MAX(H100:K100),H100:K100,0)))</f>
        <v/>
      </c>
      <c r="Q100" s="52" t="str">
        <f aca="false">IF(M100="","",INDEX($A$5:$A$8,MATCH(MIN(H100:K100),H100:K100,0)))</f>
        <v/>
      </c>
    </row>
    <row r="101" customFormat="false" ht="15" hidden="false" customHeight="false" outlineLevel="0" collapsed="false">
      <c r="A101" s="25" t="s">
        <v>156</v>
      </c>
      <c r="B101" s="11" t="n">
        <f aca="false">COUNTIFS(Responses!$L$2:$L$1000,$A101,Responses!$B$2:$B$1000,$A$5)</f>
        <v>0</v>
      </c>
      <c r="C101" s="11" t="n">
        <f aca="false">COUNTIFS(Responses!$L$2:$L$1000,$A101,Responses!$B$2:$B$1000,$A$6)</f>
        <v>0</v>
      </c>
      <c r="D101" s="11" t="n">
        <f aca="false">COUNTIFS(Responses!$L$2:$L$1000,$A101,Responses!$B$2:$B$1000,$A$7)</f>
        <v>0</v>
      </c>
      <c r="E101" s="11" t="n">
        <f aca="false">COUNTIFS(Responses!$L$2:$L$1000,$A101,Responses!$B$2:$B$1000,$A$8)</f>
        <v>0</v>
      </c>
      <c r="F101" s="11" t="n">
        <f aca="false">COUNTIF(Responses!$L$2:$L$1000,$A101)</f>
        <v>0</v>
      </c>
      <c r="H101" s="51" t="str">
        <f aca="false">IF(B$96=0,"",B101/B$96)</f>
        <v/>
      </c>
      <c r="I101" s="51" t="str">
        <f aca="false">IF(C$96=0,"",C101/C$96)</f>
        <v/>
      </c>
      <c r="J101" s="51" t="str">
        <f aca="false">IF(D$96=0,"",D101/D$96)</f>
        <v/>
      </c>
      <c r="K101" s="51" t="str">
        <f aca="false">IF(E$96=0,"",E101/E$96)</f>
        <v/>
      </c>
      <c r="L101" s="51" t="str">
        <f aca="false">IF(F$96=0,"",F101/F$96)</f>
        <v/>
      </c>
      <c r="M101" s="13" t="str">
        <f aca="false">IF(COUNT(H101:K101)&lt;2,"",MAX(H101:K101)-MIN(H101:K101))</f>
        <v/>
      </c>
      <c r="N101" s="52" t="s">
        <v>211</v>
      </c>
      <c r="O101" s="53" t="str">
        <f aca="false">IF(M101="","",M101+ROW()/1000000000)</f>
        <v/>
      </c>
      <c r="P101" s="52" t="str">
        <f aca="false">IF(M101="","",INDEX($A$5:$A$8,MATCH(MAX(H101:K101),H101:K101,0)))</f>
        <v/>
      </c>
      <c r="Q101" s="52" t="str">
        <f aca="false">IF(M101="","",INDEX($A$5:$A$8,MATCH(MIN(H101:K101),H101:K101,0)))</f>
        <v/>
      </c>
    </row>
    <row r="104" customFormat="false" ht="31.5" hidden="false" customHeight="true" outlineLevel="0" collapsed="false">
      <c r="A104" s="22" t="s">
        <v>89</v>
      </c>
      <c r="B104" s="4"/>
      <c r="C104" s="4"/>
      <c r="D104" s="4"/>
      <c r="E104" s="4"/>
      <c r="F104" s="4"/>
      <c r="G104" s="4"/>
      <c r="H104" s="4"/>
      <c r="I104" s="4"/>
      <c r="J104" s="4"/>
      <c r="K104" s="4"/>
      <c r="L104" s="4"/>
      <c r="M104" s="4"/>
    </row>
    <row r="105" customFormat="false" ht="23.85" hidden="false" customHeight="true" outlineLevel="0" collapsed="false">
      <c r="A105" s="23" t="s">
        <v>194</v>
      </c>
      <c r="B105" s="48" t="s">
        <v>99</v>
      </c>
      <c r="C105" s="48"/>
      <c r="D105" s="48"/>
      <c r="E105" s="48"/>
      <c r="F105" s="48"/>
      <c r="H105" s="48" t="s">
        <v>195</v>
      </c>
      <c r="I105" s="48"/>
      <c r="J105" s="48"/>
      <c r="K105" s="48"/>
      <c r="L105" s="48"/>
      <c r="M105" s="49" t="s">
        <v>196</v>
      </c>
    </row>
    <row r="106" customFormat="false" ht="37.5" hidden="false" customHeight="true" outlineLevel="0" collapsed="false">
      <c r="A106" s="50"/>
      <c r="B106" s="33" t="str">
        <f aca="false">$A$5</f>
        <v>18 to 24</v>
      </c>
      <c r="C106" s="33" t="str">
        <f aca="false">$A$6</f>
        <v>25 to 34</v>
      </c>
      <c r="D106" s="33" t="str">
        <f aca="false">$A$7</f>
        <v>35 to 44</v>
      </c>
      <c r="E106" s="33" t="str">
        <f aca="false">$A$8</f>
        <v>45 or older</v>
      </c>
      <c r="F106" s="33" t="s">
        <v>197</v>
      </c>
      <c r="H106" s="33" t="str">
        <f aca="false">$A$5</f>
        <v>18 to 24</v>
      </c>
      <c r="I106" s="33" t="str">
        <f aca="false">$A$6</f>
        <v>25 to 34</v>
      </c>
      <c r="J106" s="33" t="str">
        <f aca="false">$A$7</f>
        <v>35 to 44</v>
      </c>
      <c r="K106" s="33" t="str">
        <f aca="false">$A$8</f>
        <v>45 or older</v>
      </c>
      <c r="L106" s="33" t="s">
        <v>197</v>
      </c>
    </row>
    <row r="107" customFormat="false" ht="15" hidden="false" customHeight="false" outlineLevel="0" collapsed="false">
      <c r="A107" s="26" t="s">
        <v>198</v>
      </c>
      <c r="B107" s="27" t="n">
        <f aca="false">COUNTIFS(Responses!$B$2:$B$1000,$A$5,Responses!$M$2:$M$1000,"&lt;&gt;")</f>
        <v>0</v>
      </c>
      <c r="C107" s="27" t="n">
        <f aca="false">COUNTIFS(Responses!$B$2:$B$1000,$A$6,Responses!$M$2:$M$1000,"&lt;&gt;")</f>
        <v>0</v>
      </c>
      <c r="D107" s="27" t="n">
        <f aca="false">COUNTIFS(Responses!$B$2:$B$1000,$A$7,Responses!$M$2:$M$1000,"&lt;&gt;")</f>
        <v>0</v>
      </c>
      <c r="E107" s="27" t="n">
        <f aca="false">COUNTIFS(Responses!$B$2:$B$1000,$A$8,Responses!$M$2:$M$1000,"&lt;&gt;")</f>
        <v>0</v>
      </c>
      <c r="F107" s="27" t="n">
        <f aca="false">COUNTA(Responses!$M$2:$M$1000)</f>
        <v>0</v>
      </c>
    </row>
    <row r="108" customFormat="false" ht="15" hidden="false" customHeight="false" outlineLevel="0" collapsed="false">
      <c r="A108" s="25" t="s">
        <v>158</v>
      </c>
      <c r="B108" s="11" t="n">
        <f aca="false">COUNTIFS(Responses!$M$2:$M$1000,"*"&amp;$A108&amp;"*",Responses!$B$2:$B$1000,$A$5)</f>
        <v>0</v>
      </c>
      <c r="C108" s="11" t="n">
        <f aca="false">COUNTIFS(Responses!$M$2:$M$1000,"*"&amp;$A108&amp;"*",Responses!$B$2:$B$1000,$A$6)</f>
        <v>0</v>
      </c>
      <c r="D108" s="11" t="n">
        <f aca="false">COUNTIFS(Responses!$M$2:$M$1000,"*"&amp;$A108&amp;"*",Responses!$B$2:$B$1000,$A$7)</f>
        <v>0</v>
      </c>
      <c r="E108" s="11" t="n">
        <f aca="false">COUNTIFS(Responses!$M$2:$M$1000,"*"&amp;$A108&amp;"*",Responses!$B$2:$B$1000,$A$8)</f>
        <v>0</v>
      </c>
      <c r="F108" s="11" t="n">
        <f aca="false">COUNTIF(Responses!$M$2:$M$1000,"*"&amp;$A108&amp;"*")</f>
        <v>0</v>
      </c>
      <c r="H108" s="51" t="str">
        <f aca="false">IF(B$107=0,"",B108/B$107)</f>
        <v/>
      </c>
      <c r="I108" s="51" t="str">
        <f aca="false">IF(C$107=0,"",C108/C$107)</f>
        <v/>
      </c>
      <c r="J108" s="51" t="str">
        <f aca="false">IF(D$107=0,"",D108/D$107)</f>
        <v/>
      </c>
      <c r="K108" s="51" t="str">
        <f aca="false">IF(E$107=0,"",E108/E$107)</f>
        <v/>
      </c>
      <c r="L108" s="51" t="str">
        <f aca="false">IF(F$107=0,"",F108/F$107)</f>
        <v/>
      </c>
      <c r="M108" s="13" t="str">
        <f aca="false">IF(COUNT(H108:K108)&lt;2,"",MAX(H108:K108)-MIN(H108:K108))</f>
        <v/>
      </c>
      <c r="N108" s="52" t="s">
        <v>212</v>
      </c>
      <c r="O108" s="53" t="str">
        <f aca="false">IF(M108="","",M108+ROW()/1000000000)</f>
        <v/>
      </c>
      <c r="P108" s="52" t="str">
        <f aca="false">IF(M108="","",INDEX($A$5:$A$8,MATCH(MAX(H108:K108),H108:K108,0)))</f>
        <v/>
      </c>
      <c r="Q108" s="52" t="str">
        <f aca="false">IF(M108="","",INDEX($A$5:$A$8,MATCH(MIN(H108:K108),H108:K108,0)))</f>
        <v/>
      </c>
    </row>
    <row r="109" customFormat="false" ht="15" hidden="false" customHeight="false" outlineLevel="0" collapsed="false">
      <c r="A109" s="25" t="s">
        <v>159</v>
      </c>
      <c r="B109" s="11" t="n">
        <f aca="false">COUNTIFS(Responses!$M$2:$M$1000,"*"&amp;$A109&amp;"*",Responses!$B$2:$B$1000,$A$5)</f>
        <v>0</v>
      </c>
      <c r="C109" s="11" t="n">
        <f aca="false">COUNTIFS(Responses!$M$2:$M$1000,"*"&amp;$A109&amp;"*",Responses!$B$2:$B$1000,$A$6)</f>
        <v>0</v>
      </c>
      <c r="D109" s="11" t="n">
        <f aca="false">COUNTIFS(Responses!$M$2:$M$1000,"*"&amp;$A109&amp;"*",Responses!$B$2:$B$1000,$A$7)</f>
        <v>0</v>
      </c>
      <c r="E109" s="11" t="n">
        <f aca="false">COUNTIFS(Responses!$M$2:$M$1000,"*"&amp;$A109&amp;"*",Responses!$B$2:$B$1000,$A$8)</f>
        <v>0</v>
      </c>
      <c r="F109" s="11" t="n">
        <f aca="false">COUNTIF(Responses!$M$2:$M$1000,"*"&amp;$A109&amp;"*")</f>
        <v>0</v>
      </c>
      <c r="H109" s="51" t="str">
        <f aca="false">IF(B$107=0,"",B109/B$107)</f>
        <v/>
      </c>
      <c r="I109" s="51" t="str">
        <f aca="false">IF(C$107=0,"",C109/C$107)</f>
        <v/>
      </c>
      <c r="J109" s="51" t="str">
        <f aca="false">IF(D$107=0,"",D109/D$107)</f>
        <v/>
      </c>
      <c r="K109" s="51" t="str">
        <f aca="false">IF(E$107=0,"",E109/E$107)</f>
        <v/>
      </c>
      <c r="L109" s="51" t="str">
        <f aca="false">IF(F$107=0,"",F109/F$107)</f>
        <v/>
      </c>
      <c r="M109" s="13" t="str">
        <f aca="false">IF(COUNT(H109:K109)&lt;2,"",MAX(H109:K109)-MIN(H109:K109))</f>
        <v/>
      </c>
      <c r="N109" s="52" t="s">
        <v>212</v>
      </c>
      <c r="O109" s="53" t="str">
        <f aca="false">IF(M109="","",M109+ROW()/1000000000)</f>
        <v/>
      </c>
      <c r="P109" s="52" t="str">
        <f aca="false">IF(M109="","",INDEX($A$5:$A$8,MATCH(MAX(H109:K109),H109:K109,0)))</f>
        <v/>
      </c>
      <c r="Q109" s="52" t="str">
        <f aca="false">IF(M109="","",INDEX($A$5:$A$8,MATCH(MIN(H109:K109),H109:K109,0)))</f>
        <v/>
      </c>
    </row>
    <row r="110" customFormat="false" ht="15" hidden="false" customHeight="false" outlineLevel="0" collapsed="false">
      <c r="A110" s="25" t="s">
        <v>160</v>
      </c>
      <c r="B110" s="11" t="n">
        <f aca="false">COUNTIFS(Responses!$M$2:$M$1000,"*"&amp;$A110&amp;"*",Responses!$B$2:$B$1000,$A$5)</f>
        <v>0</v>
      </c>
      <c r="C110" s="11" t="n">
        <f aca="false">COUNTIFS(Responses!$M$2:$M$1000,"*"&amp;$A110&amp;"*",Responses!$B$2:$B$1000,$A$6)</f>
        <v>0</v>
      </c>
      <c r="D110" s="11" t="n">
        <f aca="false">COUNTIFS(Responses!$M$2:$M$1000,"*"&amp;$A110&amp;"*",Responses!$B$2:$B$1000,$A$7)</f>
        <v>0</v>
      </c>
      <c r="E110" s="11" t="n">
        <f aca="false">COUNTIFS(Responses!$M$2:$M$1000,"*"&amp;$A110&amp;"*",Responses!$B$2:$B$1000,$A$8)</f>
        <v>0</v>
      </c>
      <c r="F110" s="11" t="n">
        <f aca="false">COUNTIF(Responses!$M$2:$M$1000,"*"&amp;$A110&amp;"*")</f>
        <v>0</v>
      </c>
      <c r="H110" s="51" t="str">
        <f aca="false">IF(B$107=0,"",B110/B$107)</f>
        <v/>
      </c>
      <c r="I110" s="51" t="str">
        <f aca="false">IF(C$107=0,"",C110/C$107)</f>
        <v/>
      </c>
      <c r="J110" s="51" t="str">
        <f aca="false">IF(D$107=0,"",D110/D$107)</f>
        <v/>
      </c>
      <c r="K110" s="51" t="str">
        <f aca="false">IF(E$107=0,"",E110/E$107)</f>
        <v/>
      </c>
      <c r="L110" s="51" t="str">
        <f aca="false">IF(F$107=0,"",F110/F$107)</f>
        <v/>
      </c>
      <c r="M110" s="13" t="str">
        <f aca="false">IF(COUNT(H110:K110)&lt;2,"",MAX(H110:K110)-MIN(H110:K110))</f>
        <v/>
      </c>
      <c r="N110" s="52" t="s">
        <v>212</v>
      </c>
      <c r="O110" s="53" t="str">
        <f aca="false">IF(M110="","",M110+ROW()/1000000000)</f>
        <v/>
      </c>
      <c r="P110" s="52" t="str">
        <f aca="false">IF(M110="","",INDEX($A$5:$A$8,MATCH(MAX(H110:K110),H110:K110,0)))</f>
        <v/>
      </c>
      <c r="Q110" s="52" t="str">
        <f aca="false">IF(M110="","",INDEX($A$5:$A$8,MATCH(MIN(H110:K110),H110:K110,0)))</f>
        <v/>
      </c>
    </row>
    <row r="111" customFormat="false" ht="15" hidden="false" customHeight="false" outlineLevel="0" collapsed="false">
      <c r="A111" s="25" t="s">
        <v>161</v>
      </c>
      <c r="B111" s="11" t="n">
        <f aca="false">COUNTIFS(Responses!$M$2:$M$1000,"*"&amp;$A111&amp;"*",Responses!$B$2:$B$1000,$A$5)</f>
        <v>0</v>
      </c>
      <c r="C111" s="11" t="n">
        <f aca="false">COUNTIFS(Responses!$M$2:$M$1000,"*"&amp;$A111&amp;"*",Responses!$B$2:$B$1000,$A$6)</f>
        <v>0</v>
      </c>
      <c r="D111" s="11" t="n">
        <f aca="false">COUNTIFS(Responses!$M$2:$M$1000,"*"&amp;$A111&amp;"*",Responses!$B$2:$B$1000,$A$7)</f>
        <v>0</v>
      </c>
      <c r="E111" s="11" t="n">
        <f aca="false">COUNTIFS(Responses!$M$2:$M$1000,"*"&amp;$A111&amp;"*",Responses!$B$2:$B$1000,$A$8)</f>
        <v>0</v>
      </c>
      <c r="F111" s="11" t="n">
        <f aca="false">COUNTIF(Responses!$M$2:$M$1000,"*"&amp;$A111&amp;"*")</f>
        <v>0</v>
      </c>
      <c r="H111" s="51" t="str">
        <f aca="false">IF(B$107=0,"",B111/B$107)</f>
        <v/>
      </c>
      <c r="I111" s="51" t="str">
        <f aca="false">IF(C$107=0,"",C111/C$107)</f>
        <v/>
      </c>
      <c r="J111" s="51" t="str">
        <f aca="false">IF(D$107=0,"",D111/D$107)</f>
        <v/>
      </c>
      <c r="K111" s="51" t="str">
        <f aca="false">IF(E$107=0,"",E111/E$107)</f>
        <v/>
      </c>
      <c r="L111" s="51" t="str">
        <f aca="false">IF(F$107=0,"",F111/F$107)</f>
        <v/>
      </c>
      <c r="M111" s="13" t="str">
        <f aca="false">IF(COUNT(H111:K111)&lt;2,"",MAX(H111:K111)-MIN(H111:K111))</f>
        <v/>
      </c>
      <c r="N111" s="52" t="s">
        <v>212</v>
      </c>
      <c r="O111" s="53" t="str">
        <f aca="false">IF(M111="","",M111+ROW()/1000000000)</f>
        <v/>
      </c>
      <c r="P111" s="52" t="str">
        <f aca="false">IF(M111="","",INDEX($A$5:$A$8,MATCH(MAX(H111:K111),H111:K111,0)))</f>
        <v/>
      </c>
      <c r="Q111" s="52" t="str">
        <f aca="false">IF(M111="","",INDEX($A$5:$A$8,MATCH(MIN(H111:K111),H111:K111,0)))</f>
        <v/>
      </c>
    </row>
    <row r="112" customFormat="false" ht="15" hidden="false" customHeight="false" outlineLevel="0" collapsed="false">
      <c r="A112" s="25" t="s">
        <v>162</v>
      </c>
      <c r="B112" s="11" t="n">
        <f aca="false">COUNTIFS(Responses!$M$2:$M$1000,"*"&amp;$A112&amp;"*",Responses!$B$2:$B$1000,$A$5)</f>
        <v>0</v>
      </c>
      <c r="C112" s="11" t="n">
        <f aca="false">COUNTIFS(Responses!$M$2:$M$1000,"*"&amp;$A112&amp;"*",Responses!$B$2:$B$1000,$A$6)</f>
        <v>0</v>
      </c>
      <c r="D112" s="11" t="n">
        <f aca="false">COUNTIFS(Responses!$M$2:$M$1000,"*"&amp;$A112&amp;"*",Responses!$B$2:$B$1000,$A$7)</f>
        <v>0</v>
      </c>
      <c r="E112" s="11" t="n">
        <f aca="false">COUNTIFS(Responses!$M$2:$M$1000,"*"&amp;$A112&amp;"*",Responses!$B$2:$B$1000,$A$8)</f>
        <v>0</v>
      </c>
      <c r="F112" s="11" t="n">
        <f aca="false">COUNTIF(Responses!$M$2:$M$1000,"*"&amp;$A112&amp;"*")</f>
        <v>0</v>
      </c>
      <c r="H112" s="51" t="str">
        <f aca="false">IF(B$107=0,"",B112/B$107)</f>
        <v/>
      </c>
      <c r="I112" s="51" t="str">
        <f aca="false">IF(C$107=0,"",C112/C$107)</f>
        <v/>
      </c>
      <c r="J112" s="51" t="str">
        <f aca="false">IF(D$107=0,"",D112/D$107)</f>
        <v/>
      </c>
      <c r="K112" s="51" t="str">
        <f aca="false">IF(E$107=0,"",E112/E$107)</f>
        <v/>
      </c>
      <c r="L112" s="51" t="str">
        <f aca="false">IF(F$107=0,"",F112/F$107)</f>
        <v/>
      </c>
      <c r="M112" s="13" t="str">
        <f aca="false">IF(COUNT(H112:K112)&lt;2,"",MAX(H112:K112)-MIN(H112:K112))</f>
        <v/>
      </c>
      <c r="N112" s="52" t="s">
        <v>212</v>
      </c>
      <c r="O112" s="53" t="str">
        <f aca="false">IF(M112="","",M112+ROW()/1000000000)</f>
        <v/>
      </c>
      <c r="P112" s="52" t="str">
        <f aca="false">IF(M112="","",INDEX($A$5:$A$8,MATCH(MAX(H112:K112),H112:K112,0)))</f>
        <v/>
      </c>
      <c r="Q112" s="52" t="str">
        <f aca="false">IF(M112="","",INDEX($A$5:$A$8,MATCH(MIN(H112:K112),H112:K112,0)))</f>
        <v/>
      </c>
    </row>
    <row r="113" customFormat="false" ht="15" hidden="false" customHeight="false" outlineLevel="0" collapsed="false">
      <c r="A113" s="25" t="s">
        <v>163</v>
      </c>
      <c r="B113" s="11" t="n">
        <f aca="false">COUNTIFS(Responses!$M$2:$M$1000,"*"&amp;$A113&amp;"*",Responses!$B$2:$B$1000,$A$5)</f>
        <v>0</v>
      </c>
      <c r="C113" s="11" t="n">
        <f aca="false">COUNTIFS(Responses!$M$2:$M$1000,"*"&amp;$A113&amp;"*",Responses!$B$2:$B$1000,$A$6)</f>
        <v>0</v>
      </c>
      <c r="D113" s="11" t="n">
        <f aca="false">COUNTIFS(Responses!$M$2:$M$1000,"*"&amp;$A113&amp;"*",Responses!$B$2:$B$1000,$A$7)</f>
        <v>0</v>
      </c>
      <c r="E113" s="11" t="n">
        <f aca="false">COUNTIFS(Responses!$M$2:$M$1000,"*"&amp;$A113&amp;"*",Responses!$B$2:$B$1000,$A$8)</f>
        <v>0</v>
      </c>
      <c r="F113" s="11" t="n">
        <f aca="false">COUNTIF(Responses!$M$2:$M$1000,"*"&amp;$A113&amp;"*")</f>
        <v>0</v>
      </c>
      <c r="H113" s="51" t="str">
        <f aca="false">IF(B$107=0,"",B113/B$107)</f>
        <v/>
      </c>
      <c r="I113" s="51" t="str">
        <f aca="false">IF(C$107=0,"",C113/C$107)</f>
        <v/>
      </c>
      <c r="J113" s="51" t="str">
        <f aca="false">IF(D$107=0,"",D113/D$107)</f>
        <v/>
      </c>
      <c r="K113" s="51" t="str">
        <f aca="false">IF(E$107=0,"",E113/E$107)</f>
        <v/>
      </c>
      <c r="L113" s="51" t="str">
        <f aca="false">IF(F$107=0,"",F113/F$107)</f>
        <v/>
      </c>
      <c r="M113" s="13" t="str">
        <f aca="false">IF(COUNT(H113:K113)&lt;2,"",MAX(H113:K113)-MIN(H113:K113))</f>
        <v/>
      </c>
      <c r="N113" s="52" t="s">
        <v>212</v>
      </c>
      <c r="O113" s="53" t="str">
        <f aca="false">IF(M113="","",M113+ROW()/1000000000)</f>
        <v/>
      </c>
      <c r="P113" s="52" t="str">
        <f aca="false">IF(M113="","",INDEX($A$5:$A$8,MATCH(MAX(H113:K113),H113:K113,0)))</f>
        <v/>
      </c>
      <c r="Q113" s="52" t="str">
        <f aca="false">IF(M113="","",INDEX($A$5:$A$8,MATCH(MIN(H113:K113),H113:K113,0)))</f>
        <v/>
      </c>
    </row>
    <row r="114" customFormat="false" ht="15" hidden="false" customHeight="false" outlineLevel="0" collapsed="false">
      <c r="A114" s="25" t="s">
        <v>164</v>
      </c>
      <c r="B114" s="11" t="n">
        <f aca="false">COUNTIFS(Responses!$M$2:$M$1000,"*"&amp;$A114&amp;"*",Responses!$B$2:$B$1000,$A$5)</f>
        <v>0</v>
      </c>
      <c r="C114" s="11" t="n">
        <f aca="false">COUNTIFS(Responses!$M$2:$M$1000,"*"&amp;$A114&amp;"*",Responses!$B$2:$B$1000,$A$6)</f>
        <v>0</v>
      </c>
      <c r="D114" s="11" t="n">
        <f aca="false">COUNTIFS(Responses!$M$2:$M$1000,"*"&amp;$A114&amp;"*",Responses!$B$2:$B$1000,$A$7)</f>
        <v>0</v>
      </c>
      <c r="E114" s="11" t="n">
        <f aca="false">COUNTIFS(Responses!$M$2:$M$1000,"*"&amp;$A114&amp;"*",Responses!$B$2:$B$1000,$A$8)</f>
        <v>0</v>
      </c>
      <c r="F114" s="11" t="n">
        <f aca="false">COUNTIF(Responses!$M$2:$M$1000,"*"&amp;$A114&amp;"*")</f>
        <v>0</v>
      </c>
      <c r="H114" s="51" t="str">
        <f aca="false">IF(B$107=0,"",B114/B$107)</f>
        <v/>
      </c>
      <c r="I114" s="51" t="str">
        <f aca="false">IF(C$107=0,"",C114/C$107)</f>
        <v/>
      </c>
      <c r="J114" s="51" t="str">
        <f aca="false">IF(D$107=0,"",D114/D$107)</f>
        <v/>
      </c>
      <c r="K114" s="51" t="str">
        <f aca="false">IF(E$107=0,"",E114/E$107)</f>
        <v/>
      </c>
      <c r="L114" s="51" t="str">
        <f aca="false">IF(F$107=0,"",F114/F$107)</f>
        <v/>
      </c>
      <c r="M114" s="13" t="str">
        <f aca="false">IF(COUNT(H114:K114)&lt;2,"",MAX(H114:K114)-MIN(H114:K114))</f>
        <v/>
      </c>
      <c r="N114" s="52" t="s">
        <v>212</v>
      </c>
      <c r="O114" s="53" t="str">
        <f aca="false">IF(M114="","",M114+ROW()/1000000000)</f>
        <v/>
      </c>
      <c r="P114" s="52" t="str">
        <f aca="false">IF(M114="","",INDEX($A$5:$A$8,MATCH(MAX(H114:K114),H114:K114,0)))</f>
        <v/>
      </c>
      <c r="Q114" s="52" t="str">
        <f aca="false">IF(M114="","",INDEX($A$5:$A$8,MATCH(MIN(H114:K114),H114:K114,0)))</f>
        <v/>
      </c>
    </row>
    <row r="117" customFormat="false" ht="31.5" hidden="false" customHeight="true" outlineLevel="0" collapsed="false">
      <c r="A117" s="22" t="s">
        <v>90</v>
      </c>
      <c r="B117" s="4"/>
      <c r="C117" s="4"/>
      <c r="D117" s="4"/>
      <c r="E117" s="4"/>
      <c r="F117" s="4"/>
      <c r="G117" s="4"/>
      <c r="H117" s="4"/>
      <c r="I117" s="4"/>
      <c r="J117" s="4"/>
      <c r="K117" s="4"/>
      <c r="L117" s="4"/>
      <c r="M117" s="4"/>
    </row>
    <row r="118" customFormat="false" ht="23.85" hidden="false" customHeight="true" outlineLevel="0" collapsed="false">
      <c r="A118" s="23" t="s">
        <v>194</v>
      </c>
      <c r="B118" s="48" t="s">
        <v>99</v>
      </c>
      <c r="C118" s="48"/>
      <c r="D118" s="48"/>
      <c r="E118" s="48"/>
      <c r="F118" s="48"/>
      <c r="H118" s="48" t="s">
        <v>195</v>
      </c>
      <c r="I118" s="48"/>
      <c r="J118" s="48"/>
      <c r="K118" s="48"/>
      <c r="L118" s="48"/>
      <c r="M118" s="49" t="s">
        <v>196</v>
      </c>
    </row>
    <row r="119" customFormat="false" ht="37.5" hidden="false" customHeight="true" outlineLevel="0" collapsed="false">
      <c r="A119" s="50"/>
      <c r="B119" s="33" t="str">
        <f aca="false">$A$5</f>
        <v>18 to 24</v>
      </c>
      <c r="C119" s="33" t="str">
        <f aca="false">$A$6</f>
        <v>25 to 34</v>
      </c>
      <c r="D119" s="33" t="str">
        <f aca="false">$A$7</f>
        <v>35 to 44</v>
      </c>
      <c r="E119" s="33" t="str">
        <f aca="false">$A$8</f>
        <v>45 or older</v>
      </c>
      <c r="F119" s="33" t="s">
        <v>197</v>
      </c>
      <c r="H119" s="33" t="str">
        <f aca="false">$A$5</f>
        <v>18 to 24</v>
      </c>
      <c r="I119" s="33" t="str">
        <f aca="false">$A$6</f>
        <v>25 to 34</v>
      </c>
      <c r="J119" s="33" t="str">
        <f aca="false">$A$7</f>
        <v>35 to 44</v>
      </c>
      <c r="K119" s="33" t="str">
        <f aca="false">$A$8</f>
        <v>45 or older</v>
      </c>
      <c r="L119" s="33" t="s">
        <v>197</v>
      </c>
    </row>
    <row r="120" customFormat="false" ht="15" hidden="false" customHeight="false" outlineLevel="0" collapsed="false">
      <c r="A120" s="26" t="s">
        <v>198</v>
      </c>
      <c r="B120" s="27" t="n">
        <f aca="false">COUNTIFS(Responses!$B$2:$B$1000,$A$5,Responses!$N$2:$N$1000,"&lt;&gt;")</f>
        <v>0</v>
      </c>
      <c r="C120" s="27" t="n">
        <f aca="false">COUNTIFS(Responses!$B$2:$B$1000,$A$6,Responses!$N$2:$N$1000,"&lt;&gt;")</f>
        <v>0</v>
      </c>
      <c r="D120" s="27" t="n">
        <f aca="false">COUNTIFS(Responses!$B$2:$B$1000,$A$7,Responses!$N$2:$N$1000,"&lt;&gt;")</f>
        <v>0</v>
      </c>
      <c r="E120" s="27" t="n">
        <f aca="false">COUNTIFS(Responses!$B$2:$B$1000,$A$8,Responses!$N$2:$N$1000,"&lt;&gt;")</f>
        <v>0</v>
      </c>
      <c r="F120" s="27" t="n">
        <f aca="false">COUNTA(Responses!$N$2:$N$1000)</f>
        <v>0</v>
      </c>
    </row>
    <row r="121" customFormat="false" ht="15" hidden="false" customHeight="false" outlineLevel="0" collapsed="false">
      <c r="A121" s="25" t="s">
        <v>207</v>
      </c>
      <c r="B121" s="11" t="n">
        <f aca="false">COUNTIFS(Responses!$N$2:$N$1000,"&gt;=4",Responses!$B$2:$B$1000,$A$5)</f>
        <v>0</v>
      </c>
      <c r="C121" s="11" t="n">
        <f aca="false">COUNTIFS(Responses!$N$2:$N$1000,"&gt;=4",Responses!$B$2:$B$1000,$A$6)</f>
        <v>0</v>
      </c>
      <c r="D121" s="11" t="n">
        <f aca="false">COUNTIFS(Responses!$N$2:$N$1000,"&gt;=4",Responses!$B$2:$B$1000,$A$7)</f>
        <v>0</v>
      </c>
      <c r="E121" s="11" t="n">
        <f aca="false">COUNTIFS(Responses!$N$2:$N$1000,"&gt;=4",Responses!$B$2:$B$1000,$A$8)</f>
        <v>0</v>
      </c>
      <c r="F121" s="11" t="n">
        <f aca="false">COUNTIF(Responses!$N$2:$N$1000,"&gt;=4")</f>
        <v>0</v>
      </c>
      <c r="H121" s="51" t="str">
        <f aca="false">IF(B$120=0,"",B121/B$120)</f>
        <v/>
      </c>
      <c r="I121" s="51" t="str">
        <f aca="false">IF(C$120=0,"",C121/C$120)</f>
        <v/>
      </c>
      <c r="J121" s="51" t="str">
        <f aca="false">IF(D$120=0,"",D121/D$120)</f>
        <v/>
      </c>
      <c r="K121" s="51" t="str">
        <f aca="false">IF(E$120=0,"",E121/E$120)</f>
        <v/>
      </c>
      <c r="L121" s="51" t="str">
        <f aca="false">IF(F$120=0,"",F121/F$120)</f>
        <v/>
      </c>
      <c r="M121" s="13" t="str">
        <f aca="false">IF(COUNT(H121:K121)&lt;2,"",MAX(H121:K121)-MIN(H121:K121))</f>
        <v/>
      </c>
      <c r="N121" s="52" t="s">
        <v>213</v>
      </c>
      <c r="O121" s="53" t="str">
        <f aca="false">IF(M121="","",M121+ROW()/1000000000)</f>
        <v/>
      </c>
      <c r="P121" s="52" t="str">
        <f aca="false">IF(M121="","",INDEX($A$5:$A$8,MATCH(MAX(H121:K121),H121:K121,0)))</f>
        <v/>
      </c>
      <c r="Q121" s="52" t="str">
        <f aca="false">IF(M121="","",INDEX($A$5:$A$8,MATCH(MIN(H121:K121),H121:K121,0)))</f>
        <v/>
      </c>
    </row>
    <row r="122" customFormat="false" ht="15" hidden="false" customHeight="false" outlineLevel="0" collapsed="false">
      <c r="A122" s="26" t="s">
        <v>209</v>
      </c>
      <c r="B122" s="25"/>
      <c r="C122" s="25"/>
      <c r="D122" s="25"/>
      <c r="E122" s="25"/>
      <c r="F122" s="25"/>
      <c r="H122" s="35" t="str">
        <f aca="false">IFERROR(AVERAGEIFS(Responses!$N$2:$N$1000,Responses!$B$2:$B$1000,$A$5),"")</f>
        <v/>
      </c>
      <c r="I122" s="35" t="str">
        <f aca="false">IFERROR(AVERAGEIFS(Responses!$N$2:$N$1000,Responses!$B$2:$B$1000,$A$6),"")</f>
        <v/>
      </c>
      <c r="J122" s="35" t="str">
        <f aca="false">IFERROR(AVERAGEIFS(Responses!$N$2:$N$1000,Responses!$B$2:$B$1000,$A$7),"")</f>
        <v/>
      </c>
      <c r="K122" s="35" t="str">
        <f aca="false">IFERROR(AVERAGEIFS(Responses!$N$2:$N$1000,Responses!$B$2:$B$1000,$A$8),"")</f>
        <v/>
      </c>
      <c r="L122" s="35" t="str">
        <f aca="false">IFERROR(AVERAGE(Responses!$N$2:$N$1000),"")</f>
        <v/>
      </c>
      <c r="M122" s="54" t="str">
        <f aca="false">IF(COUNT(H122:K122)&lt;2,"",MAX(H122:K122)-MIN(H122:K122))</f>
        <v/>
      </c>
    </row>
    <row r="125" customFormat="false" ht="31.5" hidden="false" customHeight="true" outlineLevel="0" collapsed="false">
      <c r="A125" s="22" t="s">
        <v>91</v>
      </c>
      <c r="B125" s="4"/>
      <c r="C125" s="4"/>
      <c r="D125" s="4"/>
      <c r="E125" s="4"/>
      <c r="F125" s="4"/>
      <c r="G125" s="4"/>
      <c r="H125" s="4"/>
      <c r="I125" s="4"/>
      <c r="J125" s="4"/>
      <c r="K125" s="4"/>
      <c r="L125" s="4"/>
      <c r="M125" s="4"/>
    </row>
    <row r="126" customFormat="false" ht="23.85" hidden="false" customHeight="true" outlineLevel="0" collapsed="false">
      <c r="A126" s="23" t="s">
        <v>194</v>
      </c>
      <c r="B126" s="48" t="s">
        <v>99</v>
      </c>
      <c r="C126" s="48"/>
      <c r="D126" s="48"/>
      <c r="E126" s="48"/>
      <c r="F126" s="48"/>
      <c r="H126" s="48" t="s">
        <v>195</v>
      </c>
      <c r="I126" s="48"/>
      <c r="J126" s="48"/>
      <c r="K126" s="48"/>
      <c r="L126" s="48"/>
      <c r="M126" s="49" t="s">
        <v>196</v>
      </c>
    </row>
    <row r="127" customFormat="false" ht="37.5" hidden="false" customHeight="true" outlineLevel="0" collapsed="false">
      <c r="A127" s="50"/>
      <c r="B127" s="33" t="str">
        <f aca="false">$A$5</f>
        <v>18 to 24</v>
      </c>
      <c r="C127" s="33" t="str">
        <f aca="false">$A$6</f>
        <v>25 to 34</v>
      </c>
      <c r="D127" s="33" t="str">
        <f aca="false">$A$7</f>
        <v>35 to 44</v>
      </c>
      <c r="E127" s="33" t="str">
        <f aca="false">$A$8</f>
        <v>45 or older</v>
      </c>
      <c r="F127" s="33" t="s">
        <v>197</v>
      </c>
      <c r="H127" s="33" t="str">
        <f aca="false">$A$5</f>
        <v>18 to 24</v>
      </c>
      <c r="I127" s="33" t="str">
        <f aca="false">$A$6</f>
        <v>25 to 34</v>
      </c>
      <c r="J127" s="33" t="str">
        <f aca="false">$A$7</f>
        <v>35 to 44</v>
      </c>
      <c r="K127" s="33" t="str">
        <f aca="false">$A$8</f>
        <v>45 or older</v>
      </c>
      <c r="L127" s="33" t="s">
        <v>197</v>
      </c>
    </row>
    <row r="128" customFormat="false" ht="15" hidden="false" customHeight="false" outlineLevel="0" collapsed="false">
      <c r="A128" s="26" t="s">
        <v>198</v>
      </c>
      <c r="B128" s="27" t="n">
        <f aca="false">COUNTIFS(Responses!$B$2:$B$1000,$A$5,Responses!$O$2:$O$1000,"&lt;&gt;")</f>
        <v>0</v>
      </c>
      <c r="C128" s="27" t="n">
        <f aca="false">COUNTIFS(Responses!$B$2:$B$1000,$A$6,Responses!$O$2:$O$1000,"&lt;&gt;")</f>
        <v>0</v>
      </c>
      <c r="D128" s="27" t="n">
        <f aca="false">COUNTIFS(Responses!$B$2:$B$1000,$A$7,Responses!$O$2:$O$1000,"&lt;&gt;")</f>
        <v>0</v>
      </c>
      <c r="E128" s="27" t="n">
        <f aca="false">COUNTIFS(Responses!$B$2:$B$1000,$A$8,Responses!$O$2:$O$1000,"&lt;&gt;")</f>
        <v>0</v>
      </c>
      <c r="F128" s="27" t="n">
        <f aca="false">COUNTA(Responses!$O$2:$O$1000)</f>
        <v>0</v>
      </c>
    </row>
    <row r="129" customFormat="false" ht="15" hidden="false" customHeight="false" outlineLevel="0" collapsed="false">
      <c r="A129" s="25" t="s">
        <v>169</v>
      </c>
      <c r="B129" s="11" t="n">
        <f aca="false">COUNTIFS(Responses!$O$2:$O$1000,$A129,Responses!$B$2:$B$1000,$A$5)</f>
        <v>0</v>
      </c>
      <c r="C129" s="11" t="n">
        <f aca="false">COUNTIFS(Responses!$O$2:$O$1000,$A129,Responses!$B$2:$B$1000,$A$6)</f>
        <v>0</v>
      </c>
      <c r="D129" s="11" t="n">
        <f aca="false">COUNTIFS(Responses!$O$2:$O$1000,$A129,Responses!$B$2:$B$1000,$A$7)</f>
        <v>0</v>
      </c>
      <c r="E129" s="11" t="n">
        <f aca="false">COUNTIFS(Responses!$O$2:$O$1000,$A129,Responses!$B$2:$B$1000,$A$8)</f>
        <v>0</v>
      </c>
      <c r="F129" s="11" t="n">
        <f aca="false">COUNTIF(Responses!$O$2:$O$1000,$A129)</f>
        <v>0</v>
      </c>
      <c r="H129" s="51" t="str">
        <f aca="false">IF(B$128=0,"",B129/B$128)</f>
        <v/>
      </c>
      <c r="I129" s="51" t="str">
        <f aca="false">IF(C$128=0,"",C129/C$128)</f>
        <v/>
      </c>
      <c r="J129" s="51" t="str">
        <f aca="false">IF(D$128=0,"",D129/D$128)</f>
        <v/>
      </c>
      <c r="K129" s="51" t="str">
        <f aca="false">IF(E$128=0,"",E129/E$128)</f>
        <v/>
      </c>
      <c r="L129" s="51" t="str">
        <f aca="false">IF(F$128=0,"",F129/F$128)</f>
        <v/>
      </c>
      <c r="M129" s="13" t="str">
        <f aca="false">IF(COUNT(H129:K129)&lt;2,"",MAX(H129:K129)-MIN(H129:K129))</f>
        <v/>
      </c>
      <c r="N129" s="52" t="s">
        <v>214</v>
      </c>
      <c r="O129" s="53" t="str">
        <f aca="false">IF(M129="","",M129+ROW()/1000000000)</f>
        <v/>
      </c>
      <c r="P129" s="52" t="str">
        <f aca="false">IF(M129="","",INDEX($A$5:$A$8,MATCH(MAX(H129:K129),H129:K129,0)))</f>
        <v/>
      </c>
      <c r="Q129" s="52" t="str">
        <f aca="false">IF(M129="","",INDEX($A$5:$A$8,MATCH(MIN(H129:K129),H129:K129,0)))</f>
        <v/>
      </c>
    </row>
    <row r="130" customFormat="false" ht="15" hidden="false" customHeight="false" outlineLevel="0" collapsed="false">
      <c r="A130" s="25" t="s">
        <v>62</v>
      </c>
      <c r="B130" s="11" t="n">
        <f aca="false">COUNTIFS(Responses!$O$2:$O$1000,$A130,Responses!$B$2:$B$1000,$A$5)</f>
        <v>0</v>
      </c>
      <c r="C130" s="11" t="n">
        <f aca="false">COUNTIFS(Responses!$O$2:$O$1000,$A130,Responses!$B$2:$B$1000,$A$6)</f>
        <v>0</v>
      </c>
      <c r="D130" s="11" t="n">
        <f aca="false">COUNTIFS(Responses!$O$2:$O$1000,$A130,Responses!$B$2:$B$1000,$A$7)</f>
        <v>0</v>
      </c>
      <c r="E130" s="11" t="n">
        <f aca="false">COUNTIFS(Responses!$O$2:$O$1000,$A130,Responses!$B$2:$B$1000,$A$8)</f>
        <v>0</v>
      </c>
      <c r="F130" s="11" t="n">
        <f aca="false">COUNTIF(Responses!$O$2:$O$1000,$A130)</f>
        <v>0</v>
      </c>
      <c r="H130" s="51" t="str">
        <f aca="false">IF(B$128=0,"",B130/B$128)</f>
        <v/>
      </c>
      <c r="I130" s="51" t="str">
        <f aca="false">IF(C$128=0,"",C130/C$128)</f>
        <v/>
      </c>
      <c r="J130" s="51" t="str">
        <f aca="false">IF(D$128=0,"",D130/D$128)</f>
        <v/>
      </c>
      <c r="K130" s="51" t="str">
        <f aca="false">IF(E$128=0,"",E130/E$128)</f>
        <v/>
      </c>
      <c r="L130" s="51" t="str">
        <f aca="false">IF(F$128=0,"",F130/F$128)</f>
        <v/>
      </c>
      <c r="M130" s="13" t="str">
        <f aca="false">IF(COUNT(H130:K130)&lt;2,"",MAX(H130:K130)-MIN(H130:K130))</f>
        <v/>
      </c>
      <c r="N130" s="52" t="s">
        <v>214</v>
      </c>
      <c r="O130" s="53" t="str">
        <f aca="false">IF(M130="","",M130+ROW()/1000000000)</f>
        <v/>
      </c>
      <c r="P130" s="52" t="str">
        <f aca="false">IF(M130="","",INDEX($A$5:$A$8,MATCH(MAX(H130:K130),H130:K130,0)))</f>
        <v/>
      </c>
      <c r="Q130" s="52" t="str">
        <f aca="false">IF(M130="","",INDEX($A$5:$A$8,MATCH(MIN(H130:K130),H130:K130,0)))</f>
        <v/>
      </c>
    </row>
    <row r="131" customFormat="false" ht="15" hidden="false" customHeight="false" outlineLevel="0" collapsed="false">
      <c r="A131" s="25" t="s">
        <v>170</v>
      </c>
      <c r="B131" s="11" t="n">
        <f aca="false">COUNTIFS(Responses!$O$2:$O$1000,$A131,Responses!$B$2:$B$1000,$A$5)</f>
        <v>0</v>
      </c>
      <c r="C131" s="11" t="n">
        <f aca="false">COUNTIFS(Responses!$O$2:$O$1000,$A131,Responses!$B$2:$B$1000,$A$6)</f>
        <v>0</v>
      </c>
      <c r="D131" s="11" t="n">
        <f aca="false">COUNTIFS(Responses!$O$2:$O$1000,$A131,Responses!$B$2:$B$1000,$A$7)</f>
        <v>0</v>
      </c>
      <c r="E131" s="11" t="n">
        <f aca="false">COUNTIFS(Responses!$O$2:$O$1000,$A131,Responses!$B$2:$B$1000,$A$8)</f>
        <v>0</v>
      </c>
      <c r="F131" s="11" t="n">
        <f aca="false">COUNTIF(Responses!$O$2:$O$1000,$A131)</f>
        <v>0</v>
      </c>
      <c r="H131" s="51" t="str">
        <f aca="false">IF(B$128=0,"",B131/B$128)</f>
        <v/>
      </c>
      <c r="I131" s="51" t="str">
        <f aca="false">IF(C$128=0,"",C131/C$128)</f>
        <v/>
      </c>
      <c r="J131" s="51" t="str">
        <f aca="false">IF(D$128=0,"",D131/D$128)</f>
        <v/>
      </c>
      <c r="K131" s="51" t="str">
        <f aca="false">IF(E$128=0,"",E131/E$128)</f>
        <v/>
      </c>
      <c r="L131" s="51" t="str">
        <f aca="false">IF(F$128=0,"",F131/F$128)</f>
        <v/>
      </c>
      <c r="M131" s="13" t="str">
        <f aca="false">IF(COUNT(H131:K131)&lt;2,"",MAX(H131:K131)-MIN(H131:K131))</f>
        <v/>
      </c>
      <c r="N131" s="52" t="s">
        <v>214</v>
      </c>
      <c r="O131" s="53" t="str">
        <f aca="false">IF(M131="","",M131+ROW()/1000000000)</f>
        <v/>
      </c>
      <c r="P131" s="52" t="str">
        <f aca="false">IF(M131="","",INDEX($A$5:$A$8,MATCH(MAX(H131:K131),H131:K131,0)))</f>
        <v/>
      </c>
      <c r="Q131" s="52" t="str">
        <f aca="false">IF(M131="","",INDEX($A$5:$A$8,MATCH(MIN(H131:K131),H131:K131,0)))</f>
        <v/>
      </c>
    </row>
    <row r="132" customFormat="false" ht="15" hidden="false" customHeight="false" outlineLevel="0" collapsed="false">
      <c r="A132" s="25" t="s">
        <v>171</v>
      </c>
      <c r="B132" s="11" t="n">
        <f aca="false">COUNTIFS(Responses!$O$2:$O$1000,$A132,Responses!$B$2:$B$1000,$A$5)</f>
        <v>0</v>
      </c>
      <c r="C132" s="11" t="n">
        <f aca="false">COUNTIFS(Responses!$O$2:$O$1000,$A132,Responses!$B$2:$B$1000,$A$6)</f>
        <v>0</v>
      </c>
      <c r="D132" s="11" t="n">
        <f aca="false">COUNTIFS(Responses!$O$2:$O$1000,$A132,Responses!$B$2:$B$1000,$A$7)</f>
        <v>0</v>
      </c>
      <c r="E132" s="11" t="n">
        <f aca="false">COUNTIFS(Responses!$O$2:$O$1000,$A132,Responses!$B$2:$B$1000,$A$8)</f>
        <v>0</v>
      </c>
      <c r="F132" s="11" t="n">
        <f aca="false">COUNTIF(Responses!$O$2:$O$1000,$A132)</f>
        <v>0</v>
      </c>
      <c r="H132" s="51" t="str">
        <f aca="false">IF(B$128=0,"",B132/B$128)</f>
        <v/>
      </c>
      <c r="I132" s="51" t="str">
        <f aca="false">IF(C$128=0,"",C132/C$128)</f>
        <v/>
      </c>
      <c r="J132" s="51" t="str">
        <f aca="false">IF(D$128=0,"",D132/D$128)</f>
        <v/>
      </c>
      <c r="K132" s="51" t="str">
        <f aca="false">IF(E$128=0,"",E132/E$128)</f>
        <v/>
      </c>
      <c r="L132" s="51" t="str">
        <f aca="false">IF(F$128=0,"",F132/F$128)</f>
        <v/>
      </c>
      <c r="M132" s="13" t="str">
        <f aca="false">IF(COUNT(H132:K132)&lt;2,"",MAX(H132:K132)-MIN(H132:K132))</f>
        <v/>
      </c>
      <c r="N132" s="52" t="s">
        <v>214</v>
      </c>
      <c r="O132" s="53" t="str">
        <f aca="false">IF(M132="","",M132+ROW()/1000000000)</f>
        <v/>
      </c>
      <c r="P132" s="52" t="str">
        <f aca="false">IF(M132="","",INDEX($A$5:$A$8,MATCH(MAX(H132:K132),H132:K132,0)))</f>
        <v/>
      </c>
      <c r="Q132" s="52" t="str">
        <f aca="false">IF(M132="","",INDEX($A$5:$A$8,MATCH(MIN(H132:K132),H132:K132,0)))</f>
        <v/>
      </c>
    </row>
    <row r="133" customFormat="false" ht="15" hidden="false" customHeight="false" outlineLevel="0" collapsed="false">
      <c r="A133" s="25" t="s">
        <v>172</v>
      </c>
      <c r="B133" s="11" t="n">
        <f aca="false">COUNTIFS(Responses!$O$2:$O$1000,$A133,Responses!$B$2:$B$1000,$A$5)</f>
        <v>0</v>
      </c>
      <c r="C133" s="11" t="n">
        <f aca="false">COUNTIFS(Responses!$O$2:$O$1000,$A133,Responses!$B$2:$B$1000,$A$6)</f>
        <v>0</v>
      </c>
      <c r="D133" s="11" t="n">
        <f aca="false">COUNTIFS(Responses!$O$2:$O$1000,$A133,Responses!$B$2:$B$1000,$A$7)</f>
        <v>0</v>
      </c>
      <c r="E133" s="11" t="n">
        <f aca="false">COUNTIFS(Responses!$O$2:$O$1000,$A133,Responses!$B$2:$B$1000,$A$8)</f>
        <v>0</v>
      </c>
      <c r="F133" s="11" t="n">
        <f aca="false">COUNTIF(Responses!$O$2:$O$1000,$A133)</f>
        <v>0</v>
      </c>
      <c r="H133" s="51" t="str">
        <f aca="false">IF(B$128=0,"",B133/B$128)</f>
        <v/>
      </c>
      <c r="I133" s="51" t="str">
        <f aca="false">IF(C$128=0,"",C133/C$128)</f>
        <v/>
      </c>
      <c r="J133" s="51" t="str">
        <f aca="false">IF(D$128=0,"",D133/D$128)</f>
        <v/>
      </c>
      <c r="K133" s="51" t="str">
        <f aca="false">IF(E$128=0,"",E133/E$128)</f>
        <v/>
      </c>
      <c r="L133" s="51" t="str">
        <f aca="false">IF(F$128=0,"",F133/F$128)</f>
        <v/>
      </c>
      <c r="M133" s="13" t="str">
        <f aca="false">IF(COUNT(H133:K133)&lt;2,"",MAX(H133:K133)-MIN(H133:K133))</f>
        <v/>
      </c>
      <c r="N133" s="52" t="s">
        <v>214</v>
      </c>
      <c r="O133" s="53" t="str">
        <f aca="false">IF(M133="","",M133+ROW()/1000000000)</f>
        <v/>
      </c>
      <c r="P133" s="52" t="str">
        <f aca="false">IF(M133="","",INDEX($A$5:$A$8,MATCH(MAX(H133:K133),H133:K133,0)))</f>
        <v/>
      </c>
      <c r="Q133" s="52" t="str">
        <f aca="false">IF(M133="","",INDEX($A$5:$A$8,MATCH(MIN(H133:K133),H133:K133,0)))</f>
        <v/>
      </c>
    </row>
    <row r="136" customFormat="false" ht="31.5" hidden="false" customHeight="true" outlineLevel="0" collapsed="false">
      <c r="A136" s="22" t="s">
        <v>92</v>
      </c>
      <c r="B136" s="4"/>
      <c r="C136" s="4"/>
      <c r="D136" s="4"/>
      <c r="E136" s="4"/>
      <c r="F136" s="4"/>
      <c r="G136" s="4"/>
      <c r="H136" s="4"/>
      <c r="I136" s="4"/>
      <c r="J136" s="4"/>
      <c r="K136" s="4"/>
      <c r="L136" s="4"/>
      <c r="M136" s="4"/>
    </row>
    <row r="137" customFormat="false" ht="23.85" hidden="false" customHeight="true" outlineLevel="0" collapsed="false">
      <c r="A137" s="23" t="s">
        <v>194</v>
      </c>
      <c r="B137" s="48" t="s">
        <v>99</v>
      </c>
      <c r="C137" s="48"/>
      <c r="D137" s="48"/>
      <c r="E137" s="48"/>
      <c r="F137" s="48"/>
      <c r="H137" s="48" t="s">
        <v>195</v>
      </c>
      <c r="I137" s="48"/>
      <c r="J137" s="48"/>
      <c r="K137" s="48"/>
      <c r="L137" s="48"/>
      <c r="M137" s="49" t="s">
        <v>196</v>
      </c>
    </row>
    <row r="138" customFormat="false" ht="37.5" hidden="false" customHeight="true" outlineLevel="0" collapsed="false">
      <c r="A138" s="50"/>
      <c r="B138" s="33" t="str">
        <f aca="false">$A$5</f>
        <v>18 to 24</v>
      </c>
      <c r="C138" s="33" t="str">
        <f aca="false">$A$6</f>
        <v>25 to 34</v>
      </c>
      <c r="D138" s="33" t="str">
        <f aca="false">$A$7</f>
        <v>35 to 44</v>
      </c>
      <c r="E138" s="33" t="str">
        <f aca="false">$A$8</f>
        <v>45 or older</v>
      </c>
      <c r="F138" s="33" t="s">
        <v>197</v>
      </c>
      <c r="H138" s="33" t="str">
        <f aca="false">$A$5</f>
        <v>18 to 24</v>
      </c>
      <c r="I138" s="33" t="str">
        <f aca="false">$A$6</f>
        <v>25 to 34</v>
      </c>
      <c r="J138" s="33" t="str">
        <f aca="false">$A$7</f>
        <v>35 to 44</v>
      </c>
      <c r="K138" s="33" t="str">
        <f aca="false">$A$8</f>
        <v>45 or older</v>
      </c>
      <c r="L138" s="33" t="s">
        <v>197</v>
      </c>
    </row>
    <row r="139" customFormat="false" ht="15" hidden="false" customHeight="false" outlineLevel="0" collapsed="false">
      <c r="A139" s="26" t="s">
        <v>198</v>
      </c>
      <c r="B139" s="27" t="n">
        <f aca="false">COUNTIFS(Responses!$B$2:$B$1000,$A$5,Responses!$P$2:$P$1000,"&lt;&gt;")</f>
        <v>0</v>
      </c>
      <c r="C139" s="27" t="n">
        <f aca="false">COUNTIFS(Responses!$B$2:$B$1000,$A$6,Responses!$P$2:$P$1000,"&lt;&gt;")</f>
        <v>0</v>
      </c>
      <c r="D139" s="27" t="n">
        <f aca="false">COUNTIFS(Responses!$B$2:$B$1000,$A$7,Responses!$P$2:$P$1000,"&lt;&gt;")</f>
        <v>0</v>
      </c>
      <c r="E139" s="27" t="n">
        <f aca="false">COUNTIFS(Responses!$B$2:$B$1000,$A$8,Responses!$P$2:$P$1000,"&lt;&gt;")</f>
        <v>0</v>
      </c>
      <c r="F139" s="27" t="n">
        <f aca="false">COUNTA(Responses!$P$2:$P$1000)</f>
        <v>0</v>
      </c>
    </row>
    <row r="140" customFormat="false" ht="15" hidden="false" customHeight="false" outlineLevel="0" collapsed="false">
      <c r="A140" s="25" t="s">
        <v>173</v>
      </c>
      <c r="B140" s="11" t="n">
        <f aca="false">COUNTIFS(Responses!$P$2:$P$1000,$A140,Responses!$B$2:$B$1000,$A$5)</f>
        <v>0</v>
      </c>
      <c r="C140" s="11" t="n">
        <f aca="false">COUNTIFS(Responses!$P$2:$P$1000,$A140,Responses!$B$2:$B$1000,$A$6)</f>
        <v>0</v>
      </c>
      <c r="D140" s="11" t="n">
        <f aca="false">COUNTIFS(Responses!$P$2:$P$1000,$A140,Responses!$B$2:$B$1000,$A$7)</f>
        <v>0</v>
      </c>
      <c r="E140" s="11" t="n">
        <f aca="false">COUNTIFS(Responses!$P$2:$P$1000,$A140,Responses!$B$2:$B$1000,$A$8)</f>
        <v>0</v>
      </c>
      <c r="F140" s="11" t="n">
        <f aca="false">COUNTIF(Responses!$P$2:$P$1000,$A140)</f>
        <v>0</v>
      </c>
      <c r="H140" s="51" t="str">
        <f aca="false">IF(B$139=0,"",B140/B$139)</f>
        <v/>
      </c>
      <c r="I140" s="51" t="str">
        <f aca="false">IF(C$139=0,"",C140/C$139)</f>
        <v/>
      </c>
      <c r="J140" s="51" t="str">
        <f aca="false">IF(D$139=0,"",D140/D$139)</f>
        <v/>
      </c>
      <c r="K140" s="51" t="str">
        <f aca="false">IF(E$139=0,"",E140/E$139)</f>
        <v/>
      </c>
      <c r="L140" s="51" t="str">
        <f aca="false">IF(F$139=0,"",F140/F$139)</f>
        <v/>
      </c>
      <c r="M140" s="13" t="str">
        <f aca="false">IF(COUNT(H140:K140)&lt;2,"",MAX(H140:K140)-MIN(H140:K140))</f>
        <v/>
      </c>
      <c r="N140" s="52" t="s">
        <v>215</v>
      </c>
      <c r="O140" s="53" t="str">
        <f aca="false">IF(M140="","",M140+ROW()/1000000000)</f>
        <v/>
      </c>
      <c r="P140" s="52" t="str">
        <f aca="false">IF(M140="","",INDEX($A$5:$A$8,MATCH(MAX(H140:K140),H140:K140,0)))</f>
        <v/>
      </c>
      <c r="Q140" s="52" t="str">
        <f aca="false">IF(M140="","",INDEX($A$5:$A$8,MATCH(MIN(H140:K140),H140:K140,0)))</f>
        <v/>
      </c>
    </row>
    <row r="141" customFormat="false" ht="15" hidden="false" customHeight="false" outlineLevel="0" collapsed="false">
      <c r="A141" s="25" t="s">
        <v>64</v>
      </c>
      <c r="B141" s="11" t="n">
        <f aca="false">COUNTIFS(Responses!$P$2:$P$1000,$A141,Responses!$B$2:$B$1000,$A$5)</f>
        <v>0</v>
      </c>
      <c r="C141" s="11" t="n">
        <f aca="false">COUNTIFS(Responses!$P$2:$P$1000,$A141,Responses!$B$2:$B$1000,$A$6)</f>
        <v>0</v>
      </c>
      <c r="D141" s="11" t="n">
        <f aca="false">COUNTIFS(Responses!$P$2:$P$1000,$A141,Responses!$B$2:$B$1000,$A$7)</f>
        <v>0</v>
      </c>
      <c r="E141" s="11" t="n">
        <f aca="false">COUNTIFS(Responses!$P$2:$P$1000,$A141,Responses!$B$2:$B$1000,$A$8)</f>
        <v>0</v>
      </c>
      <c r="F141" s="11" t="n">
        <f aca="false">COUNTIF(Responses!$P$2:$P$1000,$A141)</f>
        <v>0</v>
      </c>
      <c r="H141" s="51" t="str">
        <f aca="false">IF(B$139=0,"",B141/B$139)</f>
        <v/>
      </c>
      <c r="I141" s="51" t="str">
        <f aca="false">IF(C$139=0,"",C141/C$139)</f>
        <v/>
      </c>
      <c r="J141" s="51" t="str">
        <f aca="false">IF(D$139=0,"",D141/D$139)</f>
        <v/>
      </c>
      <c r="K141" s="51" t="str">
        <f aca="false">IF(E$139=0,"",E141/E$139)</f>
        <v/>
      </c>
      <c r="L141" s="51" t="str">
        <f aca="false">IF(F$139=0,"",F141/F$139)</f>
        <v/>
      </c>
      <c r="M141" s="13" t="str">
        <f aca="false">IF(COUNT(H141:K141)&lt;2,"",MAX(H141:K141)-MIN(H141:K141))</f>
        <v/>
      </c>
      <c r="N141" s="52" t="s">
        <v>215</v>
      </c>
      <c r="O141" s="53" t="str">
        <f aca="false">IF(M141="","",M141+ROW()/1000000000)</f>
        <v/>
      </c>
      <c r="P141" s="52" t="str">
        <f aca="false">IF(M141="","",INDEX($A$5:$A$8,MATCH(MAX(H141:K141),H141:K141,0)))</f>
        <v/>
      </c>
      <c r="Q141" s="52" t="str">
        <f aca="false">IF(M141="","",INDEX($A$5:$A$8,MATCH(MIN(H141:K141),H141:K141,0)))</f>
        <v/>
      </c>
    </row>
    <row r="142" customFormat="false" ht="15" hidden="false" customHeight="false" outlineLevel="0" collapsed="false">
      <c r="A142" s="25" t="s">
        <v>174</v>
      </c>
      <c r="B142" s="11" t="n">
        <f aca="false">COUNTIFS(Responses!$P$2:$P$1000,$A142,Responses!$B$2:$B$1000,$A$5)</f>
        <v>0</v>
      </c>
      <c r="C142" s="11" t="n">
        <f aca="false">COUNTIFS(Responses!$P$2:$P$1000,$A142,Responses!$B$2:$B$1000,$A$6)</f>
        <v>0</v>
      </c>
      <c r="D142" s="11" t="n">
        <f aca="false">COUNTIFS(Responses!$P$2:$P$1000,$A142,Responses!$B$2:$B$1000,$A$7)</f>
        <v>0</v>
      </c>
      <c r="E142" s="11" t="n">
        <f aca="false">COUNTIFS(Responses!$P$2:$P$1000,$A142,Responses!$B$2:$B$1000,$A$8)</f>
        <v>0</v>
      </c>
      <c r="F142" s="11" t="n">
        <f aca="false">COUNTIF(Responses!$P$2:$P$1000,$A142)</f>
        <v>0</v>
      </c>
      <c r="H142" s="51" t="str">
        <f aca="false">IF(B$139=0,"",B142/B$139)</f>
        <v/>
      </c>
      <c r="I142" s="51" t="str">
        <f aca="false">IF(C$139=0,"",C142/C$139)</f>
        <v/>
      </c>
      <c r="J142" s="51" t="str">
        <f aca="false">IF(D$139=0,"",D142/D$139)</f>
        <v/>
      </c>
      <c r="K142" s="51" t="str">
        <f aca="false">IF(E$139=0,"",E142/E$139)</f>
        <v/>
      </c>
      <c r="L142" s="51" t="str">
        <f aca="false">IF(F$139=0,"",F142/F$139)</f>
        <v/>
      </c>
      <c r="M142" s="13" t="str">
        <f aca="false">IF(COUNT(H142:K142)&lt;2,"",MAX(H142:K142)-MIN(H142:K142))</f>
        <v/>
      </c>
      <c r="N142" s="52" t="s">
        <v>215</v>
      </c>
      <c r="O142" s="53" t="str">
        <f aca="false">IF(M142="","",M142+ROW()/1000000000)</f>
        <v/>
      </c>
      <c r="P142" s="52" t="str">
        <f aca="false">IF(M142="","",INDEX($A$5:$A$8,MATCH(MAX(H142:K142),H142:K142,0)))</f>
        <v/>
      </c>
      <c r="Q142" s="52" t="str">
        <f aca="false">IF(M142="","",INDEX($A$5:$A$8,MATCH(MIN(H142:K142),H142:K142,0)))</f>
        <v/>
      </c>
    </row>
    <row r="143" customFormat="false" ht="15" hidden="false" customHeight="false" outlineLevel="0" collapsed="false">
      <c r="A143" s="25" t="s">
        <v>175</v>
      </c>
      <c r="B143" s="11" t="n">
        <f aca="false">COUNTIFS(Responses!$P$2:$P$1000,$A143,Responses!$B$2:$B$1000,$A$5)</f>
        <v>0</v>
      </c>
      <c r="C143" s="11" t="n">
        <f aca="false">COUNTIFS(Responses!$P$2:$P$1000,$A143,Responses!$B$2:$B$1000,$A$6)</f>
        <v>0</v>
      </c>
      <c r="D143" s="11" t="n">
        <f aca="false">COUNTIFS(Responses!$P$2:$P$1000,$A143,Responses!$B$2:$B$1000,$A$7)</f>
        <v>0</v>
      </c>
      <c r="E143" s="11" t="n">
        <f aca="false">COUNTIFS(Responses!$P$2:$P$1000,$A143,Responses!$B$2:$B$1000,$A$8)</f>
        <v>0</v>
      </c>
      <c r="F143" s="11" t="n">
        <f aca="false">COUNTIF(Responses!$P$2:$P$1000,$A143)</f>
        <v>0</v>
      </c>
      <c r="H143" s="51" t="str">
        <f aca="false">IF(B$139=0,"",B143/B$139)</f>
        <v/>
      </c>
      <c r="I143" s="51" t="str">
        <f aca="false">IF(C$139=0,"",C143/C$139)</f>
        <v/>
      </c>
      <c r="J143" s="51" t="str">
        <f aca="false">IF(D$139=0,"",D143/D$139)</f>
        <v/>
      </c>
      <c r="K143" s="51" t="str">
        <f aca="false">IF(E$139=0,"",E143/E$139)</f>
        <v/>
      </c>
      <c r="L143" s="51" t="str">
        <f aca="false">IF(F$139=0,"",F143/F$139)</f>
        <v/>
      </c>
      <c r="M143" s="13" t="str">
        <f aca="false">IF(COUNT(H143:K143)&lt;2,"",MAX(H143:K143)-MIN(H143:K143))</f>
        <v/>
      </c>
      <c r="N143" s="52" t="s">
        <v>215</v>
      </c>
      <c r="O143" s="53" t="str">
        <f aca="false">IF(M143="","",M143+ROW()/1000000000)</f>
        <v/>
      </c>
      <c r="P143" s="52" t="str">
        <f aca="false">IF(M143="","",INDEX($A$5:$A$8,MATCH(MAX(H143:K143),H143:K143,0)))</f>
        <v/>
      </c>
      <c r="Q143" s="52" t="str">
        <f aca="false">IF(M143="","",INDEX($A$5:$A$8,MATCH(MIN(H143:K143),H143:K143,0)))</f>
        <v/>
      </c>
    </row>
    <row r="144" customFormat="false" ht="15" hidden="false" customHeight="false" outlineLevel="0" collapsed="false">
      <c r="A144" s="25" t="s">
        <v>176</v>
      </c>
      <c r="B144" s="11" t="n">
        <f aca="false">COUNTIFS(Responses!$P$2:$P$1000,$A144,Responses!$B$2:$B$1000,$A$5)</f>
        <v>0</v>
      </c>
      <c r="C144" s="11" t="n">
        <f aca="false">COUNTIFS(Responses!$P$2:$P$1000,$A144,Responses!$B$2:$B$1000,$A$6)</f>
        <v>0</v>
      </c>
      <c r="D144" s="11" t="n">
        <f aca="false">COUNTIFS(Responses!$P$2:$P$1000,$A144,Responses!$B$2:$B$1000,$A$7)</f>
        <v>0</v>
      </c>
      <c r="E144" s="11" t="n">
        <f aca="false">COUNTIFS(Responses!$P$2:$P$1000,$A144,Responses!$B$2:$B$1000,$A$8)</f>
        <v>0</v>
      </c>
      <c r="F144" s="11" t="n">
        <f aca="false">COUNTIF(Responses!$P$2:$P$1000,$A144)</f>
        <v>0</v>
      </c>
      <c r="H144" s="51" t="str">
        <f aca="false">IF(B$139=0,"",B144/B$139)</f>
        <v/>
      </c>
      <c r="I144" s="51" t="str">
        <f aca="false">IF(C$139=0,"",C144/C$139)</f>
        <v/>
      </c>
      <c r="J144" s="51" t="str">
        <f aca="false">IF(D$139=0,"",D144/D$139)</f>
        <v/>
      </c>
      <c r="K144" s="51" t="str">
        <f aca="false">IF(E$139=0,"",E144/E$139)</f>
        <v/>
      </c>
      <c r="L144" s="51" t="str">
        <f aca="false">IF(F$139=0,"",F144/F$139)</f>
        <v/>
      </c>
      <c r="M144" s="13" t="str">
        <f aca="false">IF(COUNT(H144:K144)&lt;2,"",MAX(H144:K144)-MIN(H144:K144))</f>
        <v/>
      </c>
      <c r="N144" s="52" t="s">
        <v>215</v>
      </c>
      <c r="O144" s="53" t="str">
        <f aca="false">IF(M144="","",M144+ROW()/1000000000)</f>
        <v/>
      </c>
      <c r="P144" s="52" t="str">
        <f aca="false">IF(M144="","",INDEX($A$5:$A$8,MATCH(MAX(H144:K144),H144:K144,0)))</f>
        <v/>
      </c>
      <c r="Q144" s="52" t="str">
        <f aca="false">IF(M144="","",INDEX($A$5:$A$8,MATCH(MIN(H144:K144),H144:K144,0)))</f>
        <v/>
      </c>
    </row>
  </sheetData>
  <mergeCells count="36">
    <mergeCell ref="D11:G11"/>
    <mergeCell ref="H11:K11"/>
    <mergeCell ref="D12:G12"/>
    <mergeCell ref="H12:K12"/>
    <mergeCell ref="D13:G13"/>
    <mergeCell ref="H13:K13"/>
    <mergeCell ref="D14:G14"/>
    <mergeCell ref="H14:K14"/>
    <mergeCell ref="D15:G15"/>
    <mergeCell ref="H15:K15"/>
    <mergeCell ref="D16:G16"/>
    <mergeCell ref="H16:K16"/>
    <mergeCell ref="B22:F22"/>
    <mergeCell ref="H22:L22"/>
    <mergeCell ref="B32:F32"/>
    <mergeCell ref="H32:L32"/>
    <mergeCell ref="B43:F43"/>
    <mergeCell ref="H43:L43"/>
    <mergeCell ref="B56:F56"/>
    <mergeCell ref="H56:L56"/>
    <mergeCell ref="B67:F67"/>
    <mergeCell ref="H67:L67"/>
    <mergeCell ref="B76:F76"/>
    <mergeCell ref="H76:L76"/>
    <mergeCell ref="B84:F84"/>
    <mergeCell ref="H84:L84"/>
    <mergeCell ref="B94:F94"/>
    <mergeCell ref="H94:L94"/>
    <mergeCell ref="B105:F105"/>
    <mergeCell ref="H105:L105"/>
    <mergeCell ref="B118:F118"/>
    <mergeCell ref="H118:L118"/>
    <mergeCell ref="B126:F126"/>
    <mergeCell ref="H126:L126"/>
    <mergeCell ref="B137:F137"/>
    <mergeCell ref="H137:L137"/>
  </mergeCells>
  <conditionalFormatting sqref="B5:B8">
    <cfRule type="cellIs" priority="2" operator="lessThan" aboveAverage="0" equalAverage="0" bottom="0" percent="0" rank="0" text="" dxfId="1">
      <formula>Start_Here!$C$15</formula>
    </cfRule>
  </conditionalFormatting>
  <conditionalFormatting sqref="B24:E24">
    <cfRule type="cellIs" priority="3" operator="lessThan" aboveAverage="0" equalAverage="0" bottom="0" percent="0" rank="0" text="" dxfId="1">
      <formula>Start_Here!$C$15</formula>
    </cfRule>
  </conditionalFormatting>
  <conditionalFormatting sqref="B34:E34">
    <cfRule type="cellIs" priority="4" operator="lessThan" aboveAverage="0" equalAverage="0" bottom="0" percent="0" rank="0" text="" dxfId="1">
      <formula>Start_Here!$C$15</formula>
    </cfRule>
  </conditionalFormatting>
  <conditionalFormatting sqref="B45:E45">
    <cfRule type="cellIs" priority="5" operator="lessThan" aboveAverage="0" equalAverage="0" bottom="0" percent="0" rank="0" text="" dxfId="1">
      <formula>Start_Here!$C$15</formula>
    </cfRule>
  </conditionalFormatting>
  <conditionalFormatting sqref="B58:E58">
    <cfRule type="cellIs" priority="6" operator="lessThan" aboveAverage="0" equalAverage="0" bottom="0" percent="0" rank="0" text="" dxfId="1">
      <formula>Start_Here!$C$15</formula>
    </cfRule>
  </conditionalFormatting>
  <conditionalFormatting sqref="B69:E69">
    <cfRule type="cellIs" priority="7" operator="lessThan" aboveAverage="0" equalAverage="0" bottom="0" percent="0" rank="0" text="" dxfId="1">
      <formula>Start_Here!$C$15</formula>
    </cfRule>
  </conditionalFormatting>
  <conditionalFormatting sqref="B78:E78">
    <cfRule type="cellIs" priority="8" operator="lessThan" aboveAverage="0" equalAverage="0" bottom="0" percent="0" rank="0" text="" dxfId="1">
      <formula>Start_Here!$C$15</formula>
    </cfRule>
  </conditionalFormatting>
  <conditionalFormatting sqref="B86:E86">
    <cfRule type="cellIs" priority="9" operator="lessThan" aboveAverage="0" equalAverage="0" bottom="0" percent="0" rank="0" text="" dxfId="1">
      <formula>Start_Here!$C$15</formula>
    </cfRule>
  </conditionalFormatting>
  <conditionalFormatting sqref="B96:E96">
    <cfRule type="cellIs" priority="10" operator="lessThan" aboveAverage="0" equalAverage="0" bottom="0" percent="0" rank="0" text="" dxfId="1">
      <formula>Start_Here!$C$15</formula>
    </cfRule>
  </conditionalFormatting>
  <conditionalFormatting sqref="B107:E107">
    <cfRule type="cellIs" priority="11" operator="lessThan" aboveAverage="0" equalAverage="0" bottom="0" percent="0" rank="0" text="" dxfId="1">
      <formula>Start_Here!$C$15</formula>
    </cfRule>
  </conditionalFormatting>
  <conditionalFormatting sqref="B120:E120">
    <cfRule type="cellIs" priority="12" operator="lessThan" aboveAverage="0" equalAverage="0" bottom="0" percent="0" rank="0" text="" dxfId="1">
      <formula>Start_Here!$C$15</formula>
    </cfRule>
  </conditionalFormatting>
  <conditionalFormatting sqref="B128:E128">
    <cfRule type="cellIs" priority="13" operator="lessThan" aboveAverage="0" equalAverage="0" bottom="0" percent="0" rank="0" text="" dxfId="1">
      <formula>Start_Here!$C$15</formula>
    </cfRule>
  </conditionalFormatting>
  <conditionalFormatting sqref="B139:E139">
    <cfRule type="cellIs" priority="14" operator="lessThan" aboveAverage="0" equalAverage="0" bottom="0" percent="0" rank="0" text="" dxfId="1">
      <formula>Start_Here!$C$15</formula>
    </cfRule>
  </conditionalFormatting>
  <conditionalFormatting sqref="M21:M147">
    <cfRule type="expression" priority="15" aboveAverage="0" equalAverage="0" bottom="0" percent="0" rank="0" text="" dxfId="2">
      <formula>AND(ISNUMBER(M21),M21&gt;=Start_Here!$C$16,NOT(ISNUMBER(SEARCH("Mean",A21))))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1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6" min="2" style="0" width="11"/>
    <col collapsed="false" customWidth="true" hidden="false" outlineLevel="0" max="7" min="7" style="0" width="3"/>
    <col collapsed="false" customWidth="true" hidden="false" outlineLevel="0" max="12" min="8" style="0" width="11"/>
    <col collapsed="false" customWidth="true" hidden="false" outlineLevel="0" max="13" min="13" style="0" width="13"/>
    <col collapsed="false" customWidth="true" hidden="true" outlineLevel="0" max="17" min="14" style="0" width="9"/>
  </cols>
  <sheetData>
    <row r="1" customFormat="false" ht="19.7" hidden="false" customHeight="false" outlineLevel="0" collapsed="false">
      <c r="A1" s="1" t="s">
        <v>216</v>
      </c>
    </row>
    <row r="2" customFormat="false" ht="15" hidden="false" customHeight="false" outlineLevel="0" collapsed="false">
      <c r="A2" s="2" t="s">
        <v>217</v>
      </c>
    </row>
    <row r="4" customFormat="false" ht="15" hidden="false" customHeight="false" outlineLevel="0" collapsed="false">
      <c r="A4" s="38" t="s">
        <v>181</v>
      </c>
      <c r="B4" s="39" t="s">
        <v>182</v>
      </c>
      <c r="C4" s="39" t="s">
        <v>183</v>
      </c>
      <c r="D4" s="39" t="s">
        <v>184</v>
      </c>
    </row>
    <row r="5" customFormat="false" ht="15" hidden="false" customHeight="false" outlineLevel="0" collapsed="false">
      <c r="A5" s="25" t="s">
        <v>109</v>
      </c>
      <c r="B5" s="11" t="n">
        <f aca="false">COUNTIF(Responses!$C$2:$C$1000,A5)</f>
        <v>0</v>
      </c>
      <c r="C5" s="13" t="str">
        <f aca="false">IF(Start_Here!$C$19=0,"",B5/Start_Here!$C$19)</f>
        <v/>
      </c>
      <c r="D5" s="40" t="str">
        <f aca="false">IF(B5&lt;Start_Here!$C$15,"small n","")</f>
        <v>small n</v>
      </c>
    </row>
    <row r="6" customFormat="false" ht="15" hidden="false" customHeight="false" outlineLevel="0" collapsed="false">
      <c r="A6" s="25" t="s">
        <v>37</v>
      </c>
      <c r="B6" s="11" t="n">
        <f aca="false">COUNTIF(Responses!$C$2:$C$1000,A6)</f>
        <v>0</v>
      </c>
      <c r="C6" s="13" t="str">
        <f aca="false">IF(Start_Here!$C$19=0,"",B6/Start_Here!$C$19)</f>
        <v/>
      </c>
      <c r="D6" s="40" t="str">
        <f aca="false">IF(B6&lt;Start_Here!$C$15,"small n","")</f>
        <v>small n</v>
      </c>
    </row>
    <row r="7" customFormat="false" ht="15" hidden="false" customHeight="false" outlineLevel="0" collapsed="false">
      <c r="A7" s="25" t="s">
        <v>110</v>
      </c>
      <c r="B7" s="11" t="n">
        <f aca="false">COUNTIF(Responses!$C$2:$C$1000,A7)</f>
        <v>0</v>
      </c>
      <c r="C7" s="13" t="str">
        <f aca="false">IF(Start_Here!$C$19=0,"",B7/Start_Here!$C$19)</f>
        <v/>
      </c>
      <c r="D7" s="40" t="str">
        <f aca="false">IF(B7&lt;Start_Here!$C$15,"small n","")</f>
        <v>small n</v>
      </c>
    </row>
    <row r="8" customFormat="false" ht="15" hidden="false" customHeight="false" outlineLevel="0" collapsed="false">
      <c r="A8" s="25" t="s">
        <v>111</v>
      </c>
      <c r="B8" s="11" t="n">
        <f aca="false">COUNTIF(Responses!$C$2:$C$1000,A8)</f>
        <v>0</v>
      </c>
      <c r="C8" s="13" t="str">
        <f aca="false">IF(Start_Here!$C$19=0,"",B8/Start_Here!$C$19)</f>
        <v/>
      </c>
      <c r="D8" s="40" t="str">
        <f aca="false">IF(B8&lt;Start_Here!$C$15,"small n","")</f>
        <v>small n</v>
      </c>
    </row>
    <row r="10" customFormat="false" ht="15" hidden="false" customHeight="false" outlineLevel="0" collapsed="false">
      <c r="A10" s="41" t="s">
        <v>185</v>
      </c>
    </row>
    <row r="11" customFormat="false" ht="15" hidden="false" customHeight="false" outlineLevel="0" collapsed="false">
      <c r="A11" s="38" t="s">
        <v>186</v>
      </c>
      <c r="B11" s="39" t="s">
        <v>187</v>
      </c>
      <c r="C11" s="39" t="s">
        <v>188</v>
      </c>
      <c r="D11" s="42" t="s">
        <v>189</v>
      </c>
      <c r="E11" s="42"/>
      <c r="F11" s="42"/>
      <c r="G11" s="42"/>
      <c r="H11" s="42" t="s">
        <v>190</v>
      </c>
      <c r="I11" s="42"/>
      <c r="J11" s="42"/>
      <c r="K11" s="42"/>
      <c r="L11" s="43" t="s">
        <v>191</v>
      </c>
      <c r="M11" s="4"/>
    </row>
    <row r="12" customFormat="false" ht="25.5" hidden="false" customHeight="true" outlineLevel="0" collapsed="false">
      <c r="A12" s="44" t="str">
        <f aca="false">IF(L12="","",INDEX($A$21:$A$147,L12))</f>
        <v/>
      </c>
      <c r="B12" s="12" t="str">
        <f aca="false">IF(L12="","",INDEX($N$21:$N$147,L12))</f>
        <v/>
      </c>
      <c r="C12" s="45" t="str">
        <f aca="false">IF(L12="","",INDEX($M$21:$M$147,L12))</f>
        <v/>
      </c>
      <c r="D12" s="25" t="str">
        <f aca="false">IF(L12="","",INDEX($P$21:$P$147,L12))</f>
        <v/>
      </c>
      <c r="E12" s="25"/>
      <c r="F12" s="25"/>
      <c r="G12" s="25"/>
      <c r="H12" s="25" t="str">
        <f aca="false">IF(L12="","",INDEX($Q$21:$Q$147,L12))</f>
        <v/>
      </c>
      <c r="I12" s="25"/>
      <c r="J12" s="25"/>
      <c r="K12" s="25"/>
      <c r="L12" s="46" t="str">
        <f aca="false">IFERROR(MATCH(LARGE($O$21:$O$147,1),$O$21:$O$147,0),"")</f>
        <v/>
      </c>
    </row>
    <row r="13" customFormat="false" ht="25.5" hidden="false" customHeight="true" outlineLevel="0" collapsed="false">
      <c r="A13" s="44" t="str">
        <f aca="false">IF(L13="","",INDEX($A$21:$A$147,L13))</f>
        <v/>
      </c>
      <c r="B13" s="12" t="str">
        <f aca="false">IF(L13="","",INDEX($N$21:$N$147,L13))</f>
        <v/>
      </c>
      <c r="C13" s="45" t="str">
        <f aca="false">IF(L13="","",INDEX($M$21:$M$147,L13))</f>
        <v/>
      </c>
      <c r="D13" s="25" t="str">
        <f aca="false">IF(L13="","",INDEX($P$21:$P$147,L13))</f>
        <v/>
      </c>
      <c r="E13" s="25"/>
      <c r="F13" s="25"/>
      <c r="G13" s="25"/>
      <c r="H13" s="25" t="str">
        <f aca="false">IF(L13="","",INDEX($Q$21:$Q$147,L13))</f>
        <v/>
      </c>
      <c r="I13" s="25"/>
      <c r="J13" s="25"/>
      <c r="K13" s="25"/>
      <c r="L13" s="46" t="str">
        <f aca="false">IFERROR(MATCH(LARGE($O$21:$O$147,2),$O$21:$O$147,0),"")</f>
        <v/>
      </c>
    </row>
    <row r="14" customFormat="false" ht="25.5" hidden="false" customHeight="true" outlineLevel="0" collapsed="false">
      <c r="A14" s="44" t="str">
        <f aca="false">IF(L14="","",INDEX($A$21:$A$147,L14))</f>
        <v/>
      </c>
      <c r="B14" s="12" t="str">
        <f aca="false">IF(L14="","",INDEX($N$21:$N$147,L14))</f>
        <v/>
      </c>
      <c r="C14" s="45" t="str">
        <f aca="false">IF(L14="","",INDEX($M$21:$M$147,L14))</f>
        <v/>
      </c>
      <c r="D14" s="25" t="str">
        <f aca="false">IF(L14="","",INDEX($P$21:$P$147,L14))</f>
        <v/>
      </c>
      <c r="E14" s="25"/>
      <c r="F14" s="25"/>
      <c r="G14" s="25"/>
      <c r="H14" s="25" t="str">
        <f aca="false">IF(L14="","",INDEX($Q$21:$Q$147,L14))</f>
        <v/>
      </c>
      <c r="I14" s="25"/>
      <c r="J14" s="25"/>
      <c r="K14" s="25"/>
      <c r="L14" s="46" t="str">
        <f aca="false">IFERROR(MATCH(LARGE($O$21:$O$147,3),$O$21:$O$147,0),"")</f>
        <v/>
      </c>
    </row>
    <row r="15" customFormat="false" ht="25.5" hidden="false" customHeight="true" outlineLevel="0" collapsed="false">
      <c r="A15" s="44" t="str">
        <f aca="false">IF(L15="","",INDEX($A$21:$A$147,L15))</f>
        <v/>
      </c>
      <c r="B15" s="12" t="str">
        <f aca="false">IF(L15="","",INDEX($N$21:$N$147,L15))</f>
        <v/>
      </c>
      <c r="C15" s="45" t="str">
        <f aca="false">IF(L15="","",INDEX($M$21:$M$147,L15))</f>
        <v/>
      </c>
      <c r="D15" s="25" t="str">
        <f aca="false">IF(L15="","",INDEX($P$21:$P$147,L15))</f>
        <v/>
      </c>
      <c r="E15" s="25"/>
      <c r="F15" s="25"/>
      <c r="G15" s="25"/>
      <c r="H15" s="25" t="str">
        <f aca="false">IF(L15="","",INDEX($Q$21:$Q$147,L15))</f>
        <v/>
      </c>
      <c r="I15" s="25"/>
      <c r="J15" s="25"/>
      <c r="K15" s="25"/>
      <c r="L15" s="46" t="str">
        <f aca="false">IFERROR(MATCH(LARGE($O$21:$O$147,4),$O$21:$O$147,0),"")</f>
        <v/>
      </c>
    </row>
    <row r="16" customFormat="false" ht="25.5" hidden="false" customHeight="true" outlineLevel="0" collapsed="false">
      <c r="A16" s="44" t="str">
        <f aca="false">IF(L16="","",INDEX($A$21:$A$147,L16))</f>
        <v/>
      </c>
      <c r="B16" s="12" t="str">
        <f aca="false">IF(L16="","",INDEX($N$21:$N$147,L16))</f>
        <v/>
      </c>
      <c r="C16" s="45" t="str">
        <f aca="false">IF(L16="","",INDEX($M$21:$M$147,L16))</f>
        <v/>
      </c>
      <c r="D16" s="25" t="str">
        <f aca="false">IF(L16="","",INDEX($P$21:$P$147,L16))</f>
        <v/>
      </c>
      <c r="E16" s="25"/>
      <c r="F16" s="25"/>
      <c r="G16" s="25"/>
      <c r="H16" s="25" t="str">
        <f aca="false">IF(L16="","",INDEX($Q$21:$Q$147,L16))</f>
        <v/>
      </c>
      <c r="I16" s="25"/>
      <c r="J16" s="25"/>
      <c r="K16" s="25"/>
      <c r="L16" s="46" t="str">
        <f aca="false">IFERROR(MATCH(LARGE($O$21:$O$147,5),$O$21:$O$147,0),"")</f>
        <v/>
      </c>
    </row>
    <row r="17" customFormat="false" ht="15" hidden="false" customHeight="false" outlineLevel="0" collapsed="false">
      <c r="A17" s="47" t="s">
        <v>192</v>
      </c>
    </row>
    <row r="18" customFormat="false" ht="15" hidden="false" customHeight="false" outlineLevel="0" collapsed="false">
      <c r="A18" s="23" t="s">
        <v>193</v>
      </c>
    </row>
    <row r="21" customFormat="false" ht="31.5" hidden="false" customHeight="true" outlineLevel="0" collapsed="false">
      <c r="A21" s="22" t="s">
        <v>78</v>
      </c>
      <c r="B21" s="4"/>
      <c r="C21" s="4"/>
      <c r="D21" s="4"/>
      <c r="E21" s="4"/>
      <c r="F21" s="4"/>
      <c r="G21" s="4"/>
      <c r="H21" s="4"/>
      <c r="I21" s="4"/>
      <c r="J21" s="4"/>
      <c r="K21" s="4"/>
      <c r="L21" s="4"/>
      <c r="M21" s="4"/>
    </row>
    <row r="22" customFormat="false" ht="23.85" hidden="false" customHeight="true" outlineLevel="0" collapsed="false">
      <c r="A22" s="23" t="s">
        <v>194</v>
      </c>
      <c r="B22" s="48" t="s">
        <v>99</v>
      </c>
      <c r="C22" s="48"/>
      <c r="D22" s="48"/>
      <c r="E22" s="48"/>
      <c r="F22" s="48"/>
      <c r="H22" s="48" t="s">
        <v>195</v>
      </c>
      <c r="I22" s="48"/>
      <c r="J22" s="48"/>
      <c r="K22" s="48"/>
      <c r="L22" s="48"/>
      <c r="M22" s="49" t="s">
        <v>196</v>
      </c>
    </row>
    <row r="23" customFormat="false" ht="37.5" hidden="false" customHeight="true" outlineLevel="0" collapsed="false">
      <c r="A23" s="50"/>
      <c r="B23" s="33" t="str">
        <f aca="false">$A$5</f>
        <v>Student only</v>
      </c>
      <c r="C23" s="33" t="str">
        <f aca="false">$A$6</f>
        <v>Employed only (full-time or part-time)</v>
      </c>
      <c r="D23" s="33" t="str">
        <f aca="false">$A$7</f>
        <v>Both student and employed</v>
      </c>
      <c r="E23" s="33" t="str">
        <f aca="false">$A$8</f>
        <v>Neither at the moment</v>
      </c>
      <c r="F23" s="33" t="s">
        <v>197</v>
      </c>
      <c r="H23" s="33" t="str">
        <f aca="false">$A$5</f>
        <v>Student only</v>
      </c>
      <c r="I23" s="33" t="str">
        <f aca="false">$A$6</f>
        <v>Employed only (full-time or part-time)</v>
      </c>
      <c r="J23" s="33" t="str">
        <f aca="false">$A$7</f>
        <v>Both student and employed</v>
      </c>
      <c r="K23" s="33" t="str">
        <f aca="false">$A$8</f>
        <v>Neither at the moment</v>
      </c>
      <c r="L23" s="33" t="s">
        <v>197</v>
      </c>
    </row>
    <row r="24" customFormat="false" ht="15" hidden="false" customHeight="false" outlineLevel="0" collapsed="false">
      <c r="A24" s="26" t="s">
        <v>198</v>
      </c>
      <c r="B24" s="27" t="n">
        <f aca="false">COUNTIFS(Responses!$C$2:$C$1000,$A$5,Responses!$B$2:$B$1000,"&lt;&gt;")</f>
        <v>0</v>
      </c>
      <c r="C24" s="27" t="n">
        <f aca="false">COUNTIFS(Responses!$C$2:$C$1000,$A$6,Responses!$B$2:$B$1000,"&lt;&gt;")</f>
        <v>0</v>
      </c>
      <c r="D24" s="27" t="n">
        <f aca="false">COUNTIFS(Responses!$C$2:$C$1000,$A$7,Responses!$B$2:$B$1000,"&lt;&gt;")</f>
        <v>0</v>
      </c>
      <c r="E24" s="27" t="n">
        <f aca="false">COUNTIFS(Responses!$C$2:$C$1000,$A$8,Responses!$B$2:$B$1000,"&lt;&gt;")</f>
        <v>0</v>
      </c>
      <c r="F24" s="27" t="n">
        <f aca="false">COUNTA(Responses!$B$2:$B$1000)</f>
        <v>0</v>
      </c>
    </row>
    <row r="25" customFormat="false" ht="15" hidden="false" customHeight="false" outlineLevel="0" collapsed="false">
      <c r="A25" s="25" t="s">
        <v>101</v>
      </c>
      <c r="B25" s="11" t="n">
        <f aca="false">COUNTIFS(Responses!$B$2:$B$1000,$A25,Responses!$C$2:$C$1000,$A$5)</f>
        <v>0</v>
      </c>
      <c r="C25" s="11" t="n">
        <f aca="false">COUNTIFS(Responses!$B$2:$B$1000,$A25,Responses!$C$2:$C$1000,$A$6)</f>
        <v>0</v>
      </c>
      <c r="D25" s="11" t="n">
        <f aca="false">COUNTIFS(Responses!$B$2:$B$1000,$A25,Responses!$C$2:$C$1000,$A$7)</f>
        <v>0</v>
      </c>
      <c r="E25" s="11" t="n">
        <f aca="false">COUNTIFS(Responses!$B$2:$B$1000,$A25,Responses!$C$2:$C$1000,$A$8)</f>
        <v>0</v>
      </c>
      <c r="F25" s="11" t="n">
        <f aca="false">COUNTIF(Responses!$B$2:$B$1000,$A25)</f>
        <v>0</v>
      </c>
      <c r="H25" s="51" t="str">
        <f aca="false">IF(B$24=0,"",B25/B$24)</f>
        <v/>
      </c>
      <c r="I25" s="51" t="str">
        <f aca="false">IF(C$24=0,"",C25/C$24)</f>
        <v/>
      </c>
      <c r="J25" s="51" t="str">
        <f aca="false">IF(D$24=0,"",D25/D$24)</f>
        <v/>
      </c>
      <c r="K25" s="51" t="str">
        <f aca="false">IF(E$24=0,"",E25/E$24)</f>
        <v/>
      </c>
      <c r="L25" s="51" t="str">
        <f aca="false">IF(F$24=0,"",F25/F$24)</f>
        <v/>
      </c>
      <c r="M25" s="13" t="str">
        <f aca="false">IF(COUNT(H25:K25)&lt;2,"",MAX(H25:K25)-MIN(H25:K25))</f>
        <v/>
      </c>
      <c r="N25" s="52" t="s">
        <v>218</v>
      </c>
      <c r="O25" s="53" t="str">
        <f aca="false">IF(M25="","",M25+ROW()/1000000000)</f>
        <v/>
      </c>
      <c r="P25" s="52" t="str">
        <f aca="false">IF(M25="","",INDEX($A$5:$A$8,MATCH(MAX(H25:K25),H25:K25,0)))</f>
        <v/>
      </c>
      <c r="Q25" s="52" t="str">
        <f aca="false">IF(M25="","",INDEX($A$5:$A$8,MATCH(MIN(H25:K25),H25:K25,0)))</f>
        <v/>
      </c>
    </row>
    <row r="26" customFormat="false" ht="15" hidden="false" customHeight="false" outlineLevel="0" collapsed="false">
      <c r="A26" s="25" t="s">
        <v>34</v>
      </c>
      <c r="B26" s="11" t="n">
        <f aca="false">COUNTIFS(Responses!$B$2:$B$1000,$A26,Responses!$C$2:$C$1000,$A$5)</f>
        <v>0</v>
      </c>
      <c r="C26" s="11" t="n">
        <f aca="false">COUNTIFS(Responses!$B$2:$B$1000,$A26,Responses!$C$2:$C$1000,$A$6)</f>
        <v>0</v>
      </c>
      <c r="D26" s="11" t="n">
        <f aca="false">COUNTIFS(Responses!$B$2:$B$1000,$A26,Responses!$C$2:$C$1000,$A$7)</f>
        <v>0</v>
      </c>
      <c r="E26" s="11" t="n">
        <f aca="false">COUNTIFS(Responses!$B$2:$B$1000,$A26,Responses!$C$2:$C$1000,$A$8)</f>
        <v>0</v>
      </c>
      <c r="F26" s="11" t="n">
        <f aca="false">COUNTIF(Responses!$B$2:$B$1000,$A26)</f>
        <v>0</v>
      </c>
      <c r="H26" s="51" t="str">
        <f aca="false">IF(B$24=0,"",B26/B$24)</f>
        <v/>
      </c>
      <c r="I26" s="51" t="str">
        <f aca="false">IF(C$24=0,"",C26/C$24)</f>
        <v/>
      </c>
      <c r="J26" s="51" t="str">
        <f aca="false">IF(D$24=0,"",D26/D$24)</f>
        <v/>
      </c>
      <c r="K26" s="51" t="str">
        <f aca="false">IF(E$24=0,"",E26/E$24)</f>
        <v/>
      </c>
      <c r="L26" s="51" t="str">
        <f aca="false">IF(F$24=0,"",F26/F$24)</f>
        <v/>
      </c>
      <c r="M26" s="13" t="str">
        <f aca="false">IF(COUNT(H26:K26)&lt;2,"",MAX(H26:K26)-MIN(H26:K26))</f>
        <v/>
      </c>
      <c r="N26" s="52" t="s">
        <v>218</v>
      </c>
      <c r="O26" s="53" t="str">
        <f aca="false">IF(M26="","",M26+ROW()/1000000000)</f>
        <v/>
      </c>
      <c r="P26" s="52" t="str">
        <f aca="false">IF(M26="","",INDEX($A$5:$A$8,MATCH(MAX(H26:K26),H26:K26,0)))</f>
        <v/>
      </c>
      <c r="Q26" s="52" t="str">
        <f aca="false">IF(M26="","",INDEX($A$5:$A$8,MATCH(MIN(H26:K26),H26:K26,0)))</f>
        <v/>
      </c>
    </row>
    <row r="27" customFormat="false" ht="15" hidden="false" customHeight="false" outlineLevel="0" collapsed="false">
      <c r="A27" s="25" t="s">
        <v>102</v>
      </c>
      <c r="B27" s="11" t="n">
        <f aca="false">COUNTIFS(Responses!$B$2:$B$1000,$A27,Responses!$C$2:$C$1000,$A$5)</f>
        <v>0</v>
      </c>
      <c r="C27" s="11" t="n">
        <f aca="false">COUNTIFS(Responses!$B$2:$B$1000,$A27,Responses!$C$2:$C$1000,$A$6)</f>
        <v>0</v>
      </c>
      <c r="D27" s="11" t="n">
        <f aca="false">COUNTIFS(Responses!$B$2:$B$1000,$A27,Responses!$C$2:$C$1000,$A$7)</f>
        <v>0</v>
      </c>
      <c r="E27" s="11" t="n">
        <f aca="false">COUNTIFS(Responses!$B$2:$B$1000,$A27,Responses!$C$2:$C$1000,$A$8)</f>
        <v>0</v>
      </c>
      <c r="F27" s="11" t="n">
        <f aca="false">COUNTIF(Responses!$B$2:$B$1000,$A27)</f>
        <v>0</v>
      </c>
      <c r="H27" s="51" t="str">
        <f aca="false">IF(B$24=0,"",B27/B$24)</f>
        <v/>
      </c>
      <c r="I27" s="51" t="str">
        <f aca="false">IF(C$24=0,"",C27/C$24)</f>
        <v/>
      </c>
      <c r="J27" s="51" t="str">
        <f aca="false">IF(D$24=0,"",D27/D$24)</f>
        <v/>
      </c>
      <c r="K27" s="51" t="str">
        <f aca="false">IF(E$24=0,"",E27/E$24)</f>
        <v/>
      </c>
      <c r="L27" s="51" t="str">
        <f aca="false">IF(F$24=0,"",F27/F$24)</f>
        <v/>
      </c>
      <c r="M27" s="13" t="str">
        <f aca="false">IF(COUNT(H27:K27)&lt;2,"",MAX(H27:K27)-MIN(H27:K27))</f>
        <v/>
      </c>
      <c r="N27" s="52" t="s">
        <v>218</v>
      </c>
      <c r="O27" s="53" t="str">
        <f aca="false">IF(M27="","",M27+ROW()/1000000000)</f>
        <v/>
      </c>
      <c r="P27" s="52" t="str">
        <f aca="false">IF(M27="","",INDEX($A$5:$A$8,MATCH(MAX(H27:K27),H27:K27,0)))</f>
        <v/>
      </c>
      <c r="Q27" s="52" t="str">
        <f aca="false">IF(M27="","",INDEX($A$5:$A$8,MATCH(MIN(H27:K27),H27:K27,0)))</f>
        <v/>
      </c>
    </row>
    <row r="28" customFormat="false" ht="15" hidden="false" customHeight="false" outlineLevel="0" collapsed="false">
      <c r="A28" s="25" t="s">
        <v>103</v>
      </c>
      <c r="B28" s="11" t="n">
        <f aca="false">COUNTIFS(Responses!$B$2:$B$1000,$A28,Responses!$C$2:$C$1000,$A$5)</f>
        <v>0</v>
      </c>
      <c r="C28" s="11" t="n">
        <f aca="false">COUNTIFS(Responses!$B$2:$B$1000,$A28,Responses!$C$2:$C$1000,$A$6)</f>
        <v>0</v>
      </c>
      <c r="D28" s="11" t="n">
        <f aca="false">COUNTIFS(Responses!$B$2:$B$1000,$A28,Responses!$C$2:$C$1000,$A$7)</f>
        <v>0</v>
      </c>
      <c r="E28" s="11" t="n">
        <f aca="false">COUNTIFS(Responses!$B$2:$B$1000,$A28,Responses!$C$2:$C$1000,$A$8)</f>
        <v>0</v>
      </c>
      <c r="F28" s="11" t="n">
        <f aca="false">COUNTIF(Responses!$B$2:$B$1000,$A28)</f>
        <v>0</v>
      </c>
      <c r="H28" s="51" t="str">
        <f aca="false">IF(B$24=0,"",B28/B$24)</f>
        <v/>
      </c>
      <c r="I28" s="51" t="str">
        <f aca="false">IF(C$24=0,"",C28/C$24)</f>
        <v/>
      </c>
      <c r="J28" s="51" t="str">
        <f aca="false">IF(D$24=0,"",D28/D$24)</f>
        <v/>
      </c>
      <c r="K28" s="51" t="str">
        <f aca="false">IF(E$24=0,"",E28/E$24)</f>
        <v/>
      </c>
      <c r="L28" s="51" t="str">
        <f aca="false">IF(F$24=0,"",F28/F$24)</f>
        <v/>
      </c>
      <c r="M28" s="13" t="str">
        <f aca="false">IF(COUNT(H28:K28)&lt;2,"",MAX(H28:K28)-MIN(H28:K28))</f>
        <v/>
      </c>
      <c r="N28" s="52" t="s">
        <v>218</v>
      </c>
      <c r="O28" s="53" t="str">
        <f aca="false">IF(M28="","",M28+ROW()/1000000000)</f>
        <v/>
      </c>
      <c r="P28" s="52" t="str">
        <f aca="false">IF(M28="","",INDEX($A$5:$A$8,MATCH(MAX(H28:K28),H28:K28,0)))</f>
        <v/>
      </c>
      <c r="Q28" s="52" t="str">
        <f aca="false">IF(M28="","",INDEX($A$5:$A$8,MATCH(MIN(H28:K28),H28:K28,0)))</f>
        <v/>
      </c>
    </row>
    <row r="31" customFormat="false" ht="31.5" hidden="false" customHeight="true" outlineLevel="0" collapsed="false">
      <c r="A31" s="22" t="s">
        <v>80</v>
      </c>
      <c r="B31" s="4"/>
      <c r="C31" s="4"/>
      <c r="D31" s="4"/>
      <c r="E31" s="4"/>
      <c r="F31" s="4"/>
      <c r="G31" s="4"/>
      <c r="H31" s="4"/>
      <c r="I31" s="4"/>
      <c r="J31" s="4"/>
      <c r="K31" s="4"/>
      <c r="L31" s="4"/>
      <c r="M31" s="4"/>
    </row>
    <row r="32" customFormat="false" ht="23.85" hidden="false" customHeight="true" outlineLevel="0" collapsed="false">
      <c r="A32" s="23" t="s">
        <v>194</v>
      </c>
      <c r="B32" s="48" t="s">
        <v>99</v>
      </c>
      <c r="C32" s="48"/>
      <c r="D32" s="48"/>
      <c r="E32" s="48"/>
      <c r="F32" s="48"/>
      <c r="H32" s="48" t="s">
        <v>195</v>
      </c>
      <c r="I32" s="48"/>
      <c r="J32" s="48"/>
      <c r="K32" s="48"/>
      <c r="L32" s="48"/>
      <c r="M32" s="49" t="s">
        <v>196</v>
      </c>
    </row>
    <row r="33" customFormat="false" ht="37.5" hidden="false" customHeight="true" outlineLevel="0" collapsed="false">
      <c r="A33" s="50"/>
      <c r="B33" s="33" t="str">
        <f aca="false">$A$5</f>
        <v>Student only</v>
      </c>
      <c r="C33" s="33" t="str">
        <f aca="false">$A$6</f>
        <v>Employed only (full-time or part-time)</v>
      </c>
      <c r="D33" s="33" t="str">
        <f aca="false">$A$7</f>
        <v>Both student and employed</v>
      </c>
      <c r="E33" s="33" t="str">
        <f aca="false">$A$8</f>
        <v>Neither at the moment</v>
      </c>
      <c r="F33" s="33" t="s">
        <v>197</v>
      </c>
      <c r="H33" s="33" t="str">
        <f aca="false">$A$5</f>
        <v>Student only</v>
      </c>
      <c r="I33" s="33" t="str">
        <f aca="false">$A$6</f>
        <v>Employed only (full-time or part-time)</v>
      </c>
      <c r="J33" s="33" t="str">
        <f aca="false">$A$7</f>
        <v>Both student and employed</v>
      </c>
      <c r="K33" s="33" t="str">
        <f aca="false">$A$8</f>
        <v>Neither at the moment</v>
      </c>
      <c r="L33" s="33" t="s">
        <v>197</v>
      </c>
    </row>
    <row r="34" customFormat="false" ht="15" hidden="false" customHeight="false" outlineLevel="0" collapsed="false">
      <c r="A34" s="26" t="s">
        <v>198</v>
      </c>
      <c r="B34" s="27" t="n">
        <f aca="false">COUNTIFS(Responses!$C$2:$C$1000,$A$5,Responses!$D$2:$D$1000,"&lt;&gt;")</f>
        <v>0</v>
      </c>
      <c r="C34" s="27" t="n">
        <f aca="false">COUNTIFS(Responses!$C$2:$C$1000,$A$6,Responses!$D$2:$D$1000,"&lt;&gt;")</f>
        <v>0</v>
      </c>
      <c r="D34" s="27" t="n">
        <f aca="false">COUNTIFS(Responses!$C$2:$C$1000,$A$7,Responses!$D$2:$D$1000,"&lt;&gt;")</f>
        <v>0</v>
      </c>
      <c r="E34" s="27" t="n">
        <f aca="false">COUNTIFS(Responses!$C$2:$C$1000,$A$8,Responses!$D$2:$D$1000,"&lt;&gt;")</f>
        <v>0</v>
      </c>
      <c r="F34" s="27" t="n">
        <f aca="false">COUNTA(Responses!$D$2:$D$1000)</f>
        <v>0</v>
      </c>
    </row>
    <row r="35" customFormat="false" ht="15" hidden="false" customHeight="false" outlineLevel="0" collapsed="false">
      <c r="A35" s="25" t="s">
        <v>112</v>
      </c>
      <c r="B35" s="11" t="n">
        <f aca="false">COUNTIFS(Responses!$D$2:$D$1000,$A35,Responses!$C$2:$C$1000,$A$5)</f>
        <v>0</v>
      </c>
      <c r="C35" s="11" t="n">
        <f aca="false">COUNTIFS(Responses!$D$2:$D$1000,$A35,Responses!$C$2:$C$1000,$A$6)</f>
        <v>0</v>
      </c>
      <c r="D35" s="11" t="n">
        <f aca="false">COUNTIFS(Responses!$D$2:$D$1000,$A35,Responses!$C$2:$C$1000,$A$7)</f>
        <v>0</v>
      </c>
      <c r="E35" s="11" t="n">
        <f aca="false">COUNTIFS(Responses!$D$2:$D$1000,$A35,Responses!$C$2:$C$1000,$A$8)</f>
        <v>0</v>
      </c>
      <c r="F35" s="11" t="n">
        <f aca="false">COUNTIF(Responses!$D$2:$D$1000,$A35)</f>
        <v>0</v>
      </c>
      <c r="H35" s="51" t="str">
        <f aca="false">IF(B$34=0,"",B35/B$34)</f>
        <v/>
      </c>
      <c r="I35" s="51" t="str">
        <f aca="false">IF(C$34=0,"",C35/C$34)</f>
        <v/>
      </c>
      <c r="J35" s="51" t="str">
        <f aca="false">IF(D$34=0,"",D35/D$34)</f>
        <v/>
      </c>
      <c r="K35" s="51" t="str">
        <f aca="false">IF(E$34=0,"",E35/E$34)</f>
        <v/>
      </c>
      <c r="L35" s="51" t="str">
        <f aca="false">IF(F$34=0,"",F35/F$34)</f>
        <v/>
      </c>
      <c r="M35" s="13" t="str">
        <f aca="false">IF(COUNT(H35:K35)&lt;2,"",MAX(H35:K35)-MIN(H35:K35))</f>
        <v/>
      </c>
      <c r="N35" s="52" t="s">
        <v>200</v>
      </c>
      <c r="O35" s="53" t="str">
        <f aca="false">IF(M35="","",M35+ROW()/1000000000)</f>
        <v/>
      </c>
      <c r="P35" s="52" t="str">
        <f aca="false">IF(M35="","",INDEX($A$5:$A$8,MATCH(MAX(H35:K35),H35:K35,0)))</f>
        <v/>
      </c>
      <c r="Q35" s="52" t="str">
        <f aca="false">IF(M35="","",INDEX($A$5:$A$8,MATCH(MIN(H35:K35),H35:K35,0)))</f>
        <v/>
      </c>
    </row>
    <row r="36" customFormat="false" ht="15" hidden="false" customHeight="false" outlineLevel="0" collapsed="false">
      <c r="A36" s="25" t="s">
        <v>113</v>
      </c>
      <c r="B36" s="11" t="n">
        <f aca="false">COUNTIFS(Responses!$D$2:$D$1000,$A36,Responses!$C$2:$C$1000,$A$5)</f>
        <v>0</v>
      </c>
      <c r="C36" s="11" t="n">
        <f aca="false">COUNTIFS(Responses!$D$2:$D$1000,$A36,Responses!$C$2:$C$1000,$A$6)</f>
        <v>0</v>
      </c>
      <c r="D36" s="11" t="n">
        <f aca="false">COUNTIFS(Responses!$D$2:$D$1000,$A36,Responses!$C$2:$C$1000,$A$7)</f>
        <v>0</v>
      </c>
      <c r="E36" s="11" t="n">
        <f aca="false">COUNTIFS(Responses!$D$2:$D$1000,$A36,Responses!$C$2:$C$1000,$A$8)</f>
        <v>0</v>
      </c>
      <c r="F36" s="11" t="n">
        <f aca="false">COUNTIF(Responses!$D$2:$D$1000,$A36)</f>
        <v>0</v>
      </c>
      <c r="H36" s="51" t="str">
        <f aca="false">IF(B$34=0,"",B36/B$34)</f>
        <v/>
      </c>
      <c r="I36" s="51" t="str">
        <f aca="false">IF(C$34=0,"",C36/C$34)</f>
        <v/>
      </c>
      <c r="J36" s="51" t="str">
        <f aca="false">IF(D$34=0,"",D36/D$34)</f>
        <v/>
      </c>
      <c r="K36" s="51" t="str">
        <f aca="false">IF(E$34=0,"",E36/E$34)</f>
        <v/>
      </c>
      <c r="L36" s="51" t="str">
        <f aca="false">IF(F$34=0,"",F36/F$34)</f>
        <v/>
      </c>
      <c r="M36" s="13" t="str">
        <f aca="false">IF(COUNT(H36:K36)&lt;2,"",MAX(H36:K36)-MIN(H36:K36))</f>
        <v/>
      </c>
      <c r="N36" s="52" t="s">
        <v>200</v>
      </c>
      <c r="O36" s="53" t="str">
        <f aca="false">IF(M36="","",M36+ROW()/1000000000)</f>
        <v/>
      </c>
      <c r="P36" s="52" t="str">
        <f aca="false">IF(M36="","",INDEX($A$5:$A$8,MATCH(MAX(H36:K36),H36:K36,0)))</f>
        <v/>
      </c>
      <c r="Q36" s="52" t="str">
        <f aca="false">IF(M36="","",INDEX($A$5:$A$8,MATCH(MIN(H36:K36),H36:K36,0)))</f>
        <v/>
      </c>
    </row>
    <row r="37" customFormat="false" ht="15" hidden="false" customHeight="false" outlineLevel="0" collapsed="false">
      <c r="A37" s="25" t="s">
        <v>114</v>
      </c>
      <c r="B37" s="11" t="n">
        <f aca="false">COUNTIFS(Responses!$D$2:$D$1000,$A37,Responses!$C$2:$C$1000,$A$5)</f>
        <v>0</v>
      </c>
      <c r="C37" s="11" t="n">
        <f aca="false">COUNTIFS(Responses!$D$2:$D$1000,$A37,Responses!$C$2:$C$1000,$A$6)</f>
        <v>0</v>
      </c>
      <c r="D37" s="11" t="n">
        <f aca="false">COUNTIFS(Responses!$D$2:$D$1000,$A37,Responses!$C$2:$C$1000,$A$7)</f>
        <v>0</v>
      </c>
      <c r="E37" s="11" t="n">
        <f aca="false">COUNTIFS(Responses!$D$2:$D$1000,$A37,Responses!$C$2:$C$1000,$A$8)</f>
        <v>0</v>
      </c>
      <c r="F37" s="11" t="n">
        <f aca="false">COUNTIF(Responses!$D$2:$D$1000,$A37)</f>
        <v>0</v>
      </c>
      <c r="H37" s="51" t="str">
        <f aca="false">IF(B$34=0,"",B37/B$34)</f>
        <v/>
      </c>
      <c r="I37" s="51" t="str">
        <f aca="false">IF(C$34=0,"",C37/C$34)</f>
        <v/>
      </c>
      <c r="J37" s="51" t="str">
        <f aca="false">IF(D$34=0,"",D37/D$34)</f>
        <v/>
      </c>
      <c r="K37" s="51" t="str">
        <f aca="false">IF(E$34=0,"",E37/E$34)</f>
        <v/>
      </c>
      <c r="L37" s="51" t="str">
        <f aca="false">IF(F$34=0,"",F37/F$34)</f>
        <v/>
      </c>
      <c r="M37" s="13" t="str">
        <f aca="false">IF(COUNT(H37:K37)&lt;2,"",MAX(H37:K37)-MIN(H37:K37))</f>
        <v/>
      </c>
      <c r="N37" s="52" t="s">
        <v>200</v>
      </c>
      <c r="O37" s="53" t="str">
        <f aca="false">IF(M37="","",M37+ROW()/1000000000)</f>
        <v/>
      </c>
      <c r="P37" s="52" t="str">
        <f aca="false">IF(M37="","",INDEX($A$5:$A$8,MATCH(MAX(H37:K37),H37:K37,0)))</f>
        <v/>
      </c>
      <c r="Q37" s="52" t="str">
        <f aca="false">IF(M37="","",INDEX($A$5:$A$8,MATCH(MIN(H37:K37),H37:K37,0)))</f>
        <v/>
      </c>
    </row>
    <row r="38" customFormat="false" ht="15" hidden="false" customHeight="false" outlineLevel="0" collapsed="false">
      <c r="A38" s="25" t="s">
        <v>39</v>
      </c>
      <c r="B38" s="11" t="n">
        <f aca="false">COUNTIFS(Responses!$D$2:$D$1000,$A38,Responses!$C$2:$C$1000,$A$5)</f>
        <v>0</v>
      </c>
      <c r="C38" s="11" t="n">
        <f aca="false">COUNTIFS(Responses!$D$2:$D$1000,$A38,Responses!$C$2:$C$1000,$A$6)</f>
        <v>0</v>
      </c>
      <c r="D38" s="11" t="n">
        <f aca="false">COUNTIFS(Responses!$D$2:$D$1000,$A38,Responses!$C$2:$C$1000,$A$7)</f>
        <v>0</v>
      </c>
      <c r="E38" s="11" t="n">
        <f aca="false">COUNTIFS(Responses!$D$2:$D$1000,$A38,Responses!$C$2:$C$1000,$A$8)</f>
        <v>0</v>
      </c>
      <c r="F38" s="11" t="n">
        <f aca="false">COUNTIF(Responses!$D$2:$D$1000,$A38)</f>
        <v>0</v>
      </c>
      <c r="H38" s="51" t="str">
        <f aca="false">IF(B$34=0,"",B38/B$34)</f>
        <v/>
      </c>
      <c r="I38" s="51" t="str">
        <f aca="false">IF(C$34=0,"",C38/C$34)</f>
        <v/>
      </c>
      <c r="J38" s="51" t="str">
        <f aca="false">IF(D$34=0,"",D38/D$34)</f>
        <v/>
      </c>
      <c r="K38" s="51" t="str">
        <f aca="false">IF(E$34=0,"",E38/E$34)</f>
        <v/>
      </c>
      <c r="L38" s="51" t="str">
        <f aca="false">IF(F$34=0,"",F38/F$34)</f>
        <v/>
      </c>
      <c r="M38" s="13" t="str">
        <f aca="false">IF(COUNT(H38:K38)&lt;2,"",MAX(H38:K38)-MIN(H38:K38))</f>
        <v/>
      </c>
      <c r="N38" s="52" t="s">
        <v>200</v>
      </c>
      <c r="O38" s="53" t="str">
        <f aca="false">IF(M38="","",M38+ROW()/1000000000)</f>
        <v/>
      </c>
      <c r="P38" s="52" t="str">
        <f aca="false">IF(M38="","",INDEX($A$5:$A$8,MATCH(MAX(H38:K38),H38:K38,0)))</f>
        <v/>
      </c>
      <c r="Q38" s="52" t="str">
        <f aca="false">IF(M38="","",INDEX($A$5:$A$8,MATCH(MIN(H38:K38),H38:K38,0)))</f>
        <v/>
      </c>
    </row>
    <row r="39" customFormat="false" ht="15" hidden="false" customHeight="false" outlineLevel="0" collapsed="false">
      <c r="A39" s="25" t="s">
        <v>115</v>
      </c>
      <c r="B39" s="11" t="n">
        <f aca="false">COUNTIFS(Responses!$D$2:$D$1000,$A39,Responses!$C$2:$C$1000,$A$5)</f>
        <v>0</v>
      </c>
      <c r="C39" s="11" t="n">
        <f aca="false">COUNTIFS(Responses!$D$2:$D$1000,$A39,Responses!$C$2:$C$1000,$A$6)</f>
        <v>0</v>
      </c>
      <c r="D39" s="11" t="n">
        <f aca="false">COUNTIFS(Responses!$D$2:$D$1000,$A39,Responses!$C$2:$C$1000,$A$7)</f>
        <v>0</v>
      </c>
      <c r="E39" s="11" t="n">
        <f aca="false">COUNTIFS(Responses!$D$2:$D$1000,$A39,Responses!$C$2:$C$1000,$A$8)</f>
        <v>0</v>
      </c>
      <c r="F39" s="11" t="n">
        <f aca="false">COUNTIF(Responses!$D$2:$D$1000,$A39)</f>
        <v>0</v>
      </c>
      <c r="H39" s="51" t="str">
        <f aca="false">IF(B$34=0,"",B39/B$34)</f>
        <v/>
      </c>
      <c r="I39" s="51" t="str">
        <f aca="false">IF(C$34=0,"",C39/C$34)</f>
        <v/>
      </c>
      <c r="J39" s="51" t="str">
        <f aca="false">IF(D$34=0,"",D39/D$34)</f>
        <v/>
      </c>
      <c r="K39" s="51" t="str">
        <f aca="false">IF(E$34=0,"",E39/E$34)</f>
        <v/>
      </c>
      <c r="L39" s="51" t="str">
        <f aca="false">IF(F$34=0,"",F39/F$34)</f>
        <v/>
      </c>
      <c r="M39" s="13" t="str">
        <f aca="false">IF(COUNT(H39:K39)&lt;2,"",MAX(H39:K39)-MIN(H39:K39))</f>
        <v/>
      </c>
      <c r="N39" s="52" t="s">
        <v>200</v>
      </c>
      <c r="O39" s="53" t="str">
        <f aca="false">IF(M39="","",M39+ROW()/1000000000)</f>
        <v/>
      </c>
      <c r="P39" s="52" t="str">
        <f aca="false">IF(M39="","",INDEX($A$5:$A$8,MATCH(MAX(H39:K39),H39:K39,0)))</f>
        <v/>
      </c>
      <c r="Q39" s="52" t="str">
        <f aca="false">IF(M39="","",INDEX($A$5:$A$8,MATCH(MIN(H39:K39),H39:K39,0)))</f>
        <v/>
      </c>
    </row>
    <row r="42" customFormat="false" ht="31.5" hidden="false" customHeight="true" outlineLevel="0" collapsed="false">
      <c r="A42" s="22" t="s">
        <v>81</v>
      </c>
      <c r="B42" s="4"/>
      <c r="C42" s="4"/>
      <c r="D42" s="4"/>
      <c r="E42" s="4"/>
      <c r="F42" s="4"/>
      <c r="G42" s="4"/>
      <c r="H42" s="4"/>
      <c r="I42" s="4"/>
      <c r="J42" s="4"/>
      <c r="K42" s="4"/>
      <c r="L42" s="4"/>
      <c r="M42" s="4"/>
    </row>
    <row r="43" customFormat="false" ht="23.85" hidden="false" customHeight="true" outlineLevel="0" collapsed="false">
      <c r="A43" s="23" t="s">
        <v>194</v>
      </c>
      <c r="B43" s="48" t="s">
        <v>99</v>
      </c>
      <c r="C43" s="48"/>
      <c r="D43" s="48"/>
      <c r="E43" s="48"/>
      <c r="F43" s="48"/>
      <c r="H43" s="48" t="s">
        <v>195</v>
      </c>
      <c r="I43" s="48"/>
      <c r="J43" s="48"/>
      <c r="K43" s="48"/>
      <c r="L43" s="48"/>
      <c r="M43" s="49" t="s">
        <v>196</v>
      </c>
    </row>
    <row r="44" customFormat="false" ht="37.5" hidden="false" customHeight="true" outlineLevel="0" collapsed="false">
      <c r="A44" s="50"/>
      <c r="B44" s="33" t="str">
        <f aca="false">$A$5</f>
        <v>Student only</v>
      </c>
      <c r="C44" s="33" t="str">
        <f aca="false">$A$6</f>
        <v>Employed only (full-time or part-time)</v>
      </c>
      <c r="D44" s="33" t="str">
        <f aca="false">$A$7</f>
        <v>Both student and employed</v>
      </c>
      <c r="E44" s="33" t="str">
        <f aca="false">$A$8</f>
        <v>Neither at the moment</v>
      </c>
      <c r="F44" s="33" t="s">
        <v>197</v>
      </c>
      <c r="H44" s="33" t="str">
        <f aca="false">$A$5</f>
        <v>Student only</v>
      </c>
      <c r="I44" s="33" t="str">
        <f aca="false">$A$6</f>
        <v>Employed only (full-time or part-time)</v>
      </c>
      <c r="J44" s="33" t="str">
        <f aca="false">$A$7</f>
        <v>Both student and employed</v>
      </c>
      <c r="K44" s="33" t="str">
        <f aca="false">$A$8</f>
        <v>Neither at the moment</v>
      </c>
      <c r="L44" s="33" t="s">
        <v>197</v>
      </c>
    </row>
    <row r="45" customFormat="false" ht="15" hidden="false" customHeight="false" outlineLevel="0" collapsed="false">
      <c r="A45" s="26" t="s">
        <v>198</v>
      </c>
      <c r="B45" s="27" t="n">
        <f aca="false">COUNTIFS(Responses!$C$2:$C$1000,$A$5,Responses!$E$2:$E$1000,"&lt;&gt;")</f>
        <v>0</v>
      </c>
      <c r="C45" s="27" t="n">
        <f aca="false">COUNTIFS(Responses!$C$2:$C$1000,$A$6,Responses!$E$2:$E$1000,"&lt;&gt;")</f>
        <v>0</v>
      </c>
      <c r="D45" s="27" t="n">
        <f aca="false">COUNTIFS(Responses!$C$2:$C$1000,$A$7,Responses!$E$2:$E$1000,"&lt;&gt;")</f>
        <v>0</v>
      </c>
      <c r="E45" s="27" t="n">
        <f aca="false">COUNTIFS(Responses!$C$2:$C$1000,$A$8,Responses!$E$2:$E$1000,"&lt;&gt;")</f>
        <v>0</v>
      </c>
      <c r="F45" s="27" t="n">
        <f aca="false">COUNTA(Responses!$E$2:$E$1000)</f>
        <v>0</v>
      </c>
    </row>
    <row r="46" customFormat="false" ht="15" hidden="false" customHeight="false" outlineLevel="0" collapsed="false">
      <c r="A46" s="25" t="s">
        <v>117</v>
      </c>
      <c r="B46" s="11" t="n">
        <f aca="false">COUNTIFS(Responses!$E$2:$E$1000,"*"&amp;$A46&amp;"*",Responses!$C$2:$C$1000,$A$5)</f>
        <v>0</v>
      </c>
      <c r="C46" s="11" t="n">
        <f aca="false">COUNTIFS(Responses!$E$2:$E$1000,"*"&amp;$A46&amp;"*",Responses!$C$2:$C$1000,$A$6)</f>
        <v>0</v>
      </c>
      <c r="D46" s="11" t="n">
        <f aca="false">COUNTIFS(Responses!$E$2:$E$1000,"*"&amp;$A46&amp;"*",Responses!$C$2:$C$1000,$A$7)</f>
        <v>0</v>
      </c>
      <c r="E46" s="11" t="n">
        <f aca="false">COUNTIFS(Responses!$E$2:$E$1000,"*"&amp;$A46&amp;"*",Responses!$C$2:$C$1000,$A$8)</f>
        <v>0</v>
      </c>
      <c r="F46" s="11" t="n">
        <f aca="false">COUNTIF(Responses!$E$2:$E$1000,"*"&amp;$A46&amp;"*")</f>
        <v>0</v>
      </c>
      <c r="H46" s="51" t="str">
        <f aca="false">IF(B$45=0,"",B46/B$45)</f>
        <v/>
      </c>
      <c r="I46" s="51" t="str">
        <f aca="false">IF(C$45=0,"",C46/C$45)</f>
        <v/>
      </c>
      <c r="J46" s="51" t="str">
        <f aca="false">IF(D$45=0,"",D46/D$45)</f>
        <v/>
      </c>
      <c r="K46" s="51" t="str">
        <f aca="false">IF(E$45=0,"",E46/E$45)</f>
        <v/>
      </c>
      <c r="L46" s="51" t="str">
        <f aca="false">IF(F$45=0,"",F46/F$45)</f>
        <v/>
      </c>
      <c r="M46" s="13" t="str">
        <f aca="false">IF(COUNT(H46:K46)&lt;2,"",MAX(H46:K46)-MIN(H46:K46))</f>
        <v/>
      </c>
      <c r="N46" s="52" t="s">
        <v>201</v>
      </c>
      <c r="O46" s="53" t="str">
        <f aca="false">IF(M46="","",M46+ROW()/1000000000)</f>
        <v/>
      </c>
      <c r="P46" s="52" t="str">
        <f aca="false">IF(M46="","",INDEX($A$5:$A$8,MATCH(MAX(H46:K46),H46:K46,0)))</f>
        <v/>
      </c>
      <c r="Q46" s="52" t="str">
        <f aca="false">IF(M46="","",INDEX($A$5:$A$8,MATCH(MIN(H46:K46),H46:K46,0)))</f>
        <v/>
      </c>
    </row>
    <row r="47" customFormat="false" ht="15" hidden="false" customHeight="false" outlineLevel="0" collapsed="false">
      <c r="A47" s="25" t="s">
        <v>118</v>
      </c>
      <c r="B47" s="11" t="n">
        <f aca="false">COUNTIFS(Responses!$E$2:$E$1000,"*"&amp;$A47&amp;"*",Responses!$C$2:$C$1000,$A$5)</f>
        <v>0</v>
      </c>
      <c r="C47" s="11" t="n">
        <f aca="false">COUNTIFS(Responses!$E$2:$E$1000,"*"&amp;$A47&amp;"*",Responses!$C$2:$C$1000,$A$6)</f>
        <v>0</v>
      </c>
      <c r="D47" s="11" t="n">
        <f aca="false">COUNTIFS(Responses!$E$2:$E$1000,"*"&amp;$A47&amp;"*",Responses!$C$2:$C$1000,$A$7)</f>
        <v>0</v>
      </c>
      <c r="E47" s="11" t="n">
        <f aca="false">COUNTIFS(Responses!$E$2:$E$1000,"*"&amp;$A47&amp;"*",Responses!$C$2:$C$1000,$A$8)</f>
        <v>0</v>
      </c>
      <c r="F47" s="11" t="n">
        <f aca="false">COUNTIF(Responses!$E$2:$E$1000,"*"&amp;$A47&amp;"*")</f>
        <v>0</v>
      </c>
      <c r="H47" s="51" t="str">
        <f aca="false">IF(B$45=0,"",B47/B$45)</f>
        <v/>
      </c>
      <c r="I47" s="51" t="str">
        <f aca="false">IF(C$45=0,"",C47/C$45)</f>
        <v/>
      </c>
      <c r="J47" s="51" t="str">
        <f aca="false">IF(D$45=0,"",D47/D$45)</f>
        <v/>
      </c>
      <c r="K47" s="51" t="str">
        <f aca="false">IF(E$45=0,"",E47/E$45)</f>
        <v/>
      </c>
      <c r="L47" s="51" t="str">
        <f aca="false">IF(F$45=0,"",F47/F$45)</f>
        <v/>
      </c>
      <c r="M47" s="13" t="str">
        <f aca="false">IF(COUNT(H47:K47)&lt;2,"",MAX(H47:K47)-MIN(H47:K47))</f>
        <v/>
      </c>
      <c r="N47" s="52" t="s">
        <v>201</v>
      </c>
      <c r="O47" s="53" t="str">
        <f aca="false">IF(M47="","",M47+ROW()/1000000000)</f>
        <v/>
      </c>
      <c r="P47" s="52" t="str">
        <f aca="false">IF(M47="","",INDEX($A$5:$A$8,MATCH(MAX(H47:K47),H47:K47,0)))</f>
        <v/>
      </c>
      <c r="Q47" s="52" t="str">
        <f aca="false">IF(M47="","",INDEX($A$5:$A$8,MATCH(MIN(H47:K47),H47:K47,0)))</f>
        <v/>
      </c>
    </row>
    <row r="48" customFormat="false" ht="15" hidden="false" customHeight="false" outlineLevel="0" collapsed="false">
      <c r="A48" s="25" t="s">
        <v>119</v>
      </c>
      <c r="B48" s="11" t="n">
        <f aca="false">COUNTIFS(Responses!$E$2:$E$1000,"*"&amp;$A48&amp;"*",Responses!$C$2:$C$1000,$A$5)</f>
        <v>0</v>
      </c>
      <c r="C48" s="11" t="n">
        <f aca="false">COUNTIFS(Responses!$E$2:$E$1000,"*"&amp;$A48&amp;"*",Responses!$C$2:$C$1000,$A$6)</f>
        <v>0</v>
      </c>
      <c r="D48" s="11" t="n">
        <f aca="false">COUNTIFS(Responses!$E$2:$E$1000,"*"&amp;$A48&amp;"*",Responses!$C$2:$C$1000,$A$7)</f>
        <v>0</v>
      </c>
      <c r="E48" s="11" t="n">
        <f aca="false">COUNTIFS(Responses!$E$2:$E$1000,"*"&amp;$A48&amp;"*",Responses!$C$2:$C$1000,$A$8)</f>
        <v>0</v>
      </c>
      <c r="F48" s="11" t="n">
        <f aca="false">COUNTIF(Responses!$E$2:$E$1000,"*"&amp;$A48&amp;"*")</f>
        <v>0</v>
      </c>
      <c r="H48" s="51" t="str">
        <f aca="false">IF(B$45=0,"",B48/B$45)</f>
        <v/>
      </c>
      <c r="I48" s="51" t="str">
        <f aca="false">IF(C$45=0,"",C48/C$45)</f>
        <v/>
      </c>
      <c r="J48" s="51" t="str">
        <f aca="false">IF(D$45=0,"",D48/D$45)</f>
        <v/>
      </c>
      <c r="K48" s="51" t="str">
        <f aca="false">IF(E$45=0,"",E48/E$45)</f>
        <v/>
      </c>
      <c r="L48" s="51" t="str">
        <f aca="false">IF(F$45=0,"",F48/F$45)</f>
        <v/>
      </c>
      <c r="M48" s="13" t="str">
        <f aca="false">IF(COUNT(H48:K48)&lt;2,"",MAX(H48:K48)-MIN(H48:K48))</f>
        <v/>
      </c>
      <c r="N48" s="52" t="s">
        <v>201</v>
      </c>
      <c r="O48" s="53" t="str">
        <f aca="false">IF(M48="","",M48+ROW()/1000000000)</f>
        <v/>
      </c>
      <c r="P48" s="52" t="str">
        <f aca="false">IF(M48="","",INDEX($A$5:$A$8,MATCH(MAX(H48:K48),H48:K48,0)))</f>
        <v/>
      </c>
      <c r="Q48" s="52" t="str">
        <f aca="false">IF(M48="","",INDEX($A$5:$A$8,MATCH(MIN(H48:K48),H48:K48,0)))</f>
        <v/>
      </c>
    </row>
    <row r="49" customFormat="false" ht="15" hidden="false" customHeight="false" outlineLevel="0" collapsed="false">
      <c r="A49" s="25" t="s">
        <v>120</v>
      </c>
      <c r="B49" s="11" t="n">
        <f aca="false">COUNTIFS(Responses!$E$2:$E$1000,"*"&amp;$A49&amp;"*",Responses!$C$2:$C$1000,$A$5)</f>
        <v>0</v>
      </c>
      <c r="C49" s="11" t="n">
        <f aca="false">COUNTIFS(Responses!$E$2:$E$1000,"*"&amp;$A49&amp;"*",Responses!$C$2:$C$1000,$A$6)</f>
        <v>0</v>
      </c>
      <c r="D49" s="11" t="n">
        <f aca="false">COUNTIFS(Responses!$E$2:$E$1000,"*"&amp;$A49&amp;"*",Responses!$C$2:$C$1000,$A$7)</f>
        <v>0</v>
      </c>
      <c r="E49" s="11" t="n">
        <f aca="false">COUNTIFS(Responses!$E$2:$E$1000,"*"&amp;$A49&amp;"*",Responses!$C$2:$C$1000,$A$8)</f>
        <v>0</v>
      </c>
      <c r="F49" s="11" t="n">
        <f aca="false">COUNTIF(Responses!$E$2:$E$1000,"*"&amp;$A49&amp;"*")</f>
        <v>0</v>
      </c>
      <c r="H49" s="51" t="str">
        <f aca="false">IF(B$45=0,"",B49/B$45)</f>
        <v/>
      </c>
      <c r="I49" s="51" t="str">
        <f aca="false">IF(C$45=0,"",C49/C$45)</f>
        <v/>
      </c>
      <c r="J49" s="51" t="str">
        <f aca="false">IF(D$45=0,"",D49/D$45)</f>
        <v/>
      </c>
      <c r="K49" s="51" t="str">
        <f aca="false">IF(E$45=0,"",E49/E$45)</f>
        <v/>
      </c>
      <c r="L49" s="51" t="str">
        <f aca="false">IF(F$45=0,"",F49/F$45)</f>
        <v/>
      </c>
      <c r="M49" s="13" t="str">
        <f aca="false">IF(COUNT(H49:K49)&lt;2,"",MAX(H49:K49)-MIN(H49:K49))</f>
        <v/>
      </c>
      <c r="N49" s="52" t="s">
        <v>201</v>
      </c>
      <c r="O49" s="53" t="str">
        <f aca="false">IF(M49="","",M49+ROW()/1000000000)</f>
        <v/>
      </c>
      <c r="P49" s="52" t="str">
        <f aca="false">IF(M49="","",INDEX($A$5:$A$8,MATCH(MAX(H49:K49),H49:K49,0)))</f>
        <v/>
      </c>
      <c r="Q49" s="52" t="str">
        <f aca="false">IF(M49="","",INDEX($A$5:$A$8,MATCH(MIN(H49:K49),H49:K49,0)))</f>
        <v/>
      </c>
    </row>
    <row r="50" customFormat="false" ht="15" hidden="false" customHeight="false" outlineLevel="0" collapsed="false">
      <c r="A50" s="25" t="s">
        <v>121</v>
      </c>
      <c r="B50" s="11" t="n">
        <f aca="false">COUNTIFS(Responses!$E$2:$E$1000,"*"&amp;$A50&amp;"*",Responses!$C$2:$C$1000,$A$5)</f>
        <v>0</v>
      </c>
      <c r="C50" s="11" t="n">
        <f aca="false">COUNTIFS(Responses!$E$2:$E$1000,"*"&amp;$A50&amp;"*",Responses!$C$2:$C$1000,$A$6)</f>
        <v>0</v>
      </c>
      <c r="D50" s="11" t="n">
        <f aca="false">COUNTIFS(Responses!$E$2:$E$1000,"*"&amp;$A50&amp;"*",Responses!$C$2:$C$1000,$A$7)</f>
        <v>0</v>
      </c>
      <c r="E50" s="11" t="n">
        <f aca="false">COUNTIFS(Responses!$E$2:$E$1000,"*"&amp;$A50&amp;"*",Responses!$C$2:$C$1000,$A$8)</f>
        <v>0</v>
      </c>
      <c r="F50" s="11" t="n">
        <f aca="false">COUNTIF(Responses!$E$2:$E$1000,"*"&amp;$A50&amp;"*")</f>
        <v>0</v>
      </c>
      <c r="H50" s="51" t="str">
        <f aca="false">IF(B$45=0,"",B50/B$45)</f>
        <v/>
      </c>
      <c r="I50" s="51" t="str">
        <f aca="false">IF(C$45=0,"",C50/C$45)</f>
        <v/>
      </c>
      <c r="J50" s="51" t="str">
        <f aca="false">IF(D$45=0,"",D50/D$45)</f>
        <v/>
      </c>
      <c r="K50" s="51" t="str">
        <f aca="false">IF(E$45=0,"",E50/E$45)</f>
        <v/>
      </c>
      <c r="L50" s="51" t="str">
        <f aca="false">IF(F$45=0,"",F50/F$45)</f>
        <v/>
      </c>
      <c r="M50" s="13" t="str">
        <f aca="false">IF(COUNT(H50:K50)&lt;2,"",MAX(H50:K50)-MIN(H50:K50))</f>
        <v/>
      </c>
      <c r="N50" s="52" t="s">
        <v>201</v>
      </c>
      <c r="O50" s="53" t="str">
        <f aca="false">IF(M50="","",M50+ROW()/1000000000)</f>
        <v/>
      </c>
      <c r="P50" s="52" t="str">
        <f aca="false">IF(M50="","",INDEX($A$5:$A$8,MATCH(MAX(H50:K50),H50:K50,0)))</f>
        <v/>
      </c>
      <c r="Q50" s="52" t="str">
        <f aca="false">IF(M50="","",INDEX($A$5:$A$8,MATCH(MIN(H50:K50),H50:K50,0)))</f>
        <v/>
      </c>
    </row>
    <row r="51" customFormat="false" ht="15" hidden="false" customHeight="false" outlineLevel="0" collapsed="false">
      <c r="A51" s="25" t="s">
        <v>122</v>
      </c>
      <c r="B51" s="11" t="n">
        <f aca="false">COUNTIFS(Responses!$E$2:$E$1000,"*"&amp;$A51&amp;"*",Responses!$C$2:$C$1000,$A$5)</f>
        <v>0</v>
      </c>
      <c r="C51" s="11" t="n">
        <f aca="false">COUNTIFS(Responses!$E$2:$E$1000,"*"&amp;$A51&amp;"*",Responses!$C$2:$C$1000,$A$6)</f>
        <v>0</v>
      </c>
      <c r="D51" s="11" t="n">
        <f aca="false">COUNTIFS(Responses!$E$2:$E$1000,"*"&amp;$A51&amp;"*",Responses!$C$2:$C$1000,$A$7)</f>
        <v>0</v>
      </c>
      <c r="E51" s="11" t="n">
        <f aca="false">COUNTIFS(Responses!$E$2:$E$1000,"*"&amp;$A51&amp;"*",Responses!$C$2:$C$1000,$A$8)</f>
        <v>0</v>
      </c>
      <c r="F51" s="11" t="n">
        <f aca="false">COUNTIF(Responses!$E$2:$E$1000,"*"&amp;$A51&amp;"*")</f>
        <v>0</v>
      </c>
      <c r="H51" s="51" t="str">
        <f aca="false">IF(B$45=0,"",B51/B$45)</f>
        <v/>
      </c>
      <c r="I51" s="51" t="str">
        <f aca="false">IF(C$45=0,"",C51/C$45)</f>
        <v/>
      </c>
      <c r="J51" s="51" t="str">
        <f aca="false">IF(D$45=0,"",D51/D$45)</f>
        <v/>
      </c>
      <c r="K51" s="51" t="str">
        <f aca="false">IF(E$45=0,"",E51/E$45)</f>
        <v/>
      </c>
      <c r="L51" s="51" t="str">
        <f aca="false">IF(F$45=0,"",F51/F$45)</f>
        <v/>
      </c>
      <c r="M51" s="13" t="str">
        <f aca="false">IF(COUNT(H51:K51)&lt;2,"",MAX(H51:K51)-MIN(H51:K51))</f>
        <v/>
      </c>
      <c r="N51" s="52" t="s">
        <v>201</v>
      </c>
      <c r="O51" s="53" t="str">
        <f aca="false">IF(M51="","",M51+ROW()/1000000000)</f>
        <v/>
      </c>
      <c r="P51" s="52" t="str">
        <f aca="false">IF(M51="","",INDEX($A$5:$A$8,MATCH(MAX(H51:K51),H51:K51,0)))</f>
        <v/>
      </c>
      <c r="Q51" s="52" t="str">
        <f aca="false">IF(M51="","",INDEX($A$5:$A$8,MATCH(MIN(H51:K51),H51:K51,0)))</f>
        <v/>
      </c>
    </row>
    <row r="52" customFormat="false" ht="15" hidden="false" customHeight="false" outlineLevel="0" collapsed="false">
      <c r="A52" s="25" t="s">
        <v>123</v>
      </c>
      <c r="B52" s="11" t="n">
        <f aca="false">COUNTIFS(Responses!$E$2:$E$1000,"*"&amp;$A52&amp;"*",Responses!$C$2:$C$1000,$A$5)</f>
        <v>0</v>
      </c>
      <c r="C52" s="11" t="n">
        <f aca="false">COUNTIFS(Responses!$E$2:$E$1000,"*"&amp;$A52&amp;"*",Responses!$C$2:$C$1000,$A$6)</f>
        <v>0</v>
      </c>
      <c r="D52" s="11" t="n">
        <f aca="false">COUNTIFS(Responses!$E$2:$E$1000,"*"&amp;$A52&amp;"*",Responses!$C$2:$C$1000,$A$7)</f>
        <v>0</v>
      </c>
      <c r="E52" s="11" t="n">
        <f aca="false">COUNTIFS(Responses!$E$2:$E$1000,"*"&amp;$A52&amp;"*",Responses!$C$2:$C$1000,$A$8)</f>
        <v>0</v>
      </c>
      <c r="F52" s="11" t="n">
        <f aca="false">COUNTIF(Responses!$E$2:$E$1000,"*"&amp;$A52&amp;"*")</f>
        <v>0</v>
      </c>
      <c r="H52" s="51" t="str">
        <f aca="false">IF(B$45=0,"",B52/B$45)</f>
        <v/>
      </c>
      <c r="I52" s="51" t="str">
        <f aca="false">IF(C$45=0,"",C52/C$45)</f>
        <v/>
      </c>
      <c r="J52" s="51" t="str">
        <f aca="false">IF(D$45=0,"",D52/D$45)</f>
        <v/>
      </c>
      <c r="K52" s="51" t="str">
        <f aca="false">IF(E$45=0,"",E52/E$45)</f>
        <v/>
      </c>
      <c r="L52" s="51" t="str">
        <f aca="false">IF(F$45=0,"",F52/F$45)</f>
        <v/>
      </c>
      <c r="M52" s="13" t="str">
        <f aca="false">IF(COUNT(H52:K52)&lt;2,"",MAX(H52:K52)-MIN(H52:K52))</f>
        <v/>
      </c>
      <c r="N52" s="52" t="s">
        <v>201</v>
      </c>
      <c r="O52" s="53" t="str">
        <f aca="false">IF(M52="","",M52+ROW()/1000000000)</f>
        <v/>
      </c>
      <c r="P52" s="52" t="str">
        <f aca="false">IF(M52="","",INDEX($A$5:$A$8,MATCH(MAX(H52:K52),H52:K52,0)))</f>
        <v/>
      </c>
      <c r="Q52" s="52" t="str">
        <f aca="false">IF(M52="","",INDEX($A$5:$A$8,MATCH(MIN(H52:K52),H52:K52,0)))</f>
        <v/>
      </c>
    </row>
    <row r="55" customFormat="false" ht="31.5" hidden="false" customHeight="true" outlineLevel="0" collapsed="false">
      <c r="A55" s="22" t="s">
        <v>82</v>
      </c>
      <c r="B55" s="4"/>
      <c r="C55" s="4"/>
      <c r="D55" s="4"/>
      <c r="E55" s="4"/>
      <c r="F55" s="4"/>
      <c r="G55" s="4"/>
      <c r="H55" s="4"/>
      <c r="I55" s="4"/>
      <c r="J55" s="4"/>
      <c r="K55" s="4"/>
      <c r="L55" s="4"/>
      <c r="M55" s="4"/>
    </row>
    <row r="56" customFormat="false" ht="23.85" hidden="false" customHeight="true" outlineLevel="0" collapsed="false">
      <c r="A56" s="23" t="s">
        <v>194</v>
      </c>
      <c r="B56" s="48" t="s">
        <v>99</v>
      </c>
      <c r="C56" s="48"/>
      <c r="D56" s="48"/>
      <c r="E56" s="48"/>
      <c r="F56" s="48"/>
      <c r="H56" s="48" t="s">
        <v>195</v>
      </c>
      <c r="I56" s="48"/>
      <c r="J56" s="48"/>
      <c r="K56" s="48"/>
      <c r="L56" s="48"/>
      <c r="M56" s="49" t="s">
        <v>196</v>
      </c>
    </row>
    <row r="57" customFormat="false" ht="37.5" hidden="false" customHeight="true" outlineLevel="0" collapsed="false">
      <c r="A57" s="50"/>
      <c r="B57" s="33" t="str">
        <f aca="false">$A$5</f>
        <v>Student only</v>
      </c>
      <c r="C57" s="33" t="str">
        <f aca="false">$A$6</f>
        <v>Employed only (full-time or part-time)</v>
      </c>
      <c r="D57" s="33" t="str">
        <f aca="false">$A$7</f>
        <v>Both student and employed</v>
      </c>
      <c r="E57" s="33" t="str">
        <f aca="false">$A$8</f>
        <v>Neither at the moment</v>
      </c>
      <c r="F57" s="33" t="s">
        <v>197</v>
      </c>
      <c r="H57" s="33" t="str">
        <f aca="false">$A$5</f>
        <v>Student only</v>
      </c>
      <c r="I57" s="33" t="str">
        <f aca="false">$A$6</f>
        <v>Employed only (full-time or part-time)</v>
      </c>
      <c r="J57" s="33" t="str">
        <f aca="false">$A$7</f>
        <v>Both student and employed</v>
      </c>
      <c r="K57" s="33" t="str">
        <f aca="false">$A$8</f>
        <v>Neither at the moment</v>
      </c>
      <c r="L57" s="33" t="s">
        <v>197</v>
      </c>
    </row>
    <row r="58" customFormat="false" ht="15" hidden="false" customHeight="false" outlineLevel="0" collapsed="false">
      <c r="A58" s="26" t="s">
        <v>198</v>
      </c>
      <c r="B58" s="27" t="n">
        <f aca="false">COUNTIFS(Responses!$C$2:$C$1000,$A$5,Responses!$F$2:$F$1000,"&lt;&gt;")</f>
        <v>0</v>
      </c>
      <c r="C58" s="27" t="n">
        <f aca="false">COUNTIFS(Responses!$C$2:$C$1000,$A$6,Responses!$F$2:$F$1000,"&lt;&gt;")</f>
        <v>0</v>
      </c>
      <c r="D58" s="27" t="n">
        <f aca="false">COUNTIFS(Responses!$C$2:$C$1000,$A$7,Responses!$F$2:$F$1000,"&lt;&gt;")</f>
        <v>0</v>
      </c>
      <c r="E58" s="27" t="n">
        <f aca="false">COUNTIFS(Responses!$C$2:$C$1000,$A$8,Responses!$F$2:$F$1000,"&lt;&gt;")</f>
        <v>0</v>
      </c>
      <c r="F58" s="27" t="n">
        <f aca="false">COUNTA(Responses!$F$2:$F$1000)</f>
        <v>0</v>
      </c>
    </row>
    <row r="59" customFormat="false" ht="15" hidden="false" customHeight="false" outlineLevel="0" collapsed="false">
      <c r="A59" s="25" t="s">
        <v>126</v>
      </c>
      <c r="B59" s="11" t="n">
        <f aca="false">COUNTIFS(Responses!$F$2:$F$1000,$A59,Responses!$C$2:$C$1000,$A$5)</f>
        <v>0</v>
      </c>
      <c r="C59" s="11" t="n">
        <f aca="false">COUNTIFS(Responses!$F$2:$F$1000,$A59,Responses!$C$2:$C$1000,$A$6)</f>
        <v>0</v>
      </c>
      <c r="D59" s="11" t="n">
        <f aca="false">COUNTIFS(Responses!$F$2:$F$1000,$A59,Responses!$C$2:$C$1000,$A$7)</f>
        <v>0</v>
      </c>
      <c r="E59" s="11" t="n">
        <f aca="false">COUNTIFS(Responses!$F$2:$F$1000,$A59,Responses!$C$2:$C$1000,$A$8)</f>
        <v>0</v>
      </c>
      <c r="F59" s="11" t="n">
        <f aca="false">COUNTIF(Responses!$F$2:$F$1000,$A59)</f>
        <v>0</v>
      </c>
      <c r="H59" s="51" t="str">
        <f aca="false">IF(B$58=0,"",B59/B$58)</f>
        <v/>
      </c>
      <c r="I59" s="51" t="str">
        <f aca="false">IF(C$58=0,"",C59/C$58)</f>
        <v/>
      </c>
      <c r="J59" s="51" t="str">
        <f aca="false">IF(D$58=0,"",D59/D$58)</f>
        <v/>
      </c>
      <c r="K59" s="51" t="str">
        <f aca="false">IF(E$58=0,"",E59/E$58)</f>
        <v/>
      </c>
      <c r="L59" s="51" t="str">
        <f aca="false">IF(F$58=0,"",F59/F$58)</f>
        <v/>
      </c>
      <c r="M59" s="13" t="str">
        <f aca="false">IF(COUNT(H59:K59)&lt;2,"",MAX(H59:K59)-MIN(H59:K59))</f>
        <v/>
      </c>
      <c r="N59" s="52" t="s">
        <v>202</v>
      </c>
      <c r="O59" s="53" t="str">
        <f aca="false">IF(M59="","",M59+ROW()/1000000000)</f>
        <v/>
      </c>
      <c r="P59" s="52" t="str">
        <f aca="false">IF(M59="","",INDEX($A$5:$A$8,MATCH(MAX(H59:K59),H59:K59,0)))</f>
        <v/>
      </c>
      <c r="Q59" s="52" t="str">
        <f aca="false">IF(M59="","",INDEX($A$5:$A$8,MATCH(MIN(H59:K59),H59:K59,0)))</f>
        <v/>
      </c>
    </row>
    <row r="60" customFormat="false" ht="15" hidden="false" customHeight="false" outlineLevel="0" collapsed="false">
      <c r="A60" s="25" t="s">
        <v>127</v>
      </c>
      <c r="B60" s="11" t="n">
        <f aca="false">COUNTIFS(Responses!$F$2:$F$1000,$A60,Responses!$C$2:$C$1000,$A$5)</f>
        <v>0</v>
      </c>
      <c r="C60" s="11" t="n">
        <f aca="false">COUNTIFS(Responses!$F$2:$F$1000,$A60,Responses!$C$2:$C$1000,$A$6)</f>
        <v>0</v>
      </c>
      <c r="D60" s="11" t="n">
        <f aca="false">COUNTIFS(Responses!$F$2:$F$1000,$A60,Responses!$C$2:$C$1000,$A$7)</f>
        <v>0</v>
      </c>
      <c r="E60" s="11" t="n">
        <f aca="false">COUNTIFS(Responses!$F$2:$F$1000,$A60,Responses!$C$2:$C$1000,$A$8)</f>
        <v>0</v>
      </c>
      <c r="F60" s="11" t="n">
        <f aca="false">COUNTIF(Responses!$F$2:$F$1000,$A60)</f>
        <v>0</v>
      </c>
      <c r="H60" s="51" t="str">
        <f aca="false">IF(B$58=0,"",B60/B$58)</f>
        <v/>
      </c>
      <c r="I60" s="51" t="str">
        <f aca="false">IF(C$58=0,"",C60/C$58)</f>
        <v/>
      </c>
      <c r="J60" s="51" t="str">
        <f aca="false">IF(D$58=0,"",D60/D$58)</f>
        <v/>
      </c>
      <c r="K60" s="51" t="str">
        <f aca="false">IF(E$58=0,"",E60/E$58)</f>
        <v/>
      </c>
      <c r="L60" s="51" t="str">
        <f aca="false">IF(F$58=0,"",F60/F$58)</f>
        <v/>
      </c>
      <c r="M60" s="13" t="str">
        <f aca="false">IF(COUNT(H60:K60)&lt;2,"",MAX(H60:K60)-MIN(H60:K60))</f>
        <v/>
      </c>
      <c r="N60" s="52" t="s">
        <v>202</v>
      </c>
      <c r="O60" s="53" t="str">
        <f aca="false">IF(M60="","",M60+ROW()/1000000000)</f>
        <v/>
      </c>
      <c r="P60" s="52" t="str">
        <f aca="false">IF(M60="","",INDEX($A$5:$A$8,MATCH(MAX(H60:K60),H60:K60,0)))</f>
        <v/>
      </c>
      <c r="Q60" s="52" t="str">
        <f aca="false">IF(M60="","",INDEX($A$5:$A$8,MATCH(MIN(H60:K60),H60:K60,0)))</f>
        <v/>
      </c>
    </row>
    <row r="61" customFormat="false" ht="15" hidden="false" customHeight="false" outlineLevel="0" collapsed="false">
      <c r="A61" s="25" t="s">
        <v>44</v>
      </c>
      <c r="B61" s="11" t="n">
        <f aca="false">COUNTIFS(Responses!$F$2:$F$1000,$A61,Responses!$C$2:$C$1000,$A$5)</f>
        <v>0</v>
      </c>
      <c r="C61" s="11" t="n">
        <f aca="false">COUNTIFS(Responses!$F$2:$F$1000,$A61,Responses!$C$2:$C$1000,$A$6)</f>
        <v>0</v>
      </c>
      <c r="D61" s="11" t="n">
        <f aca="false">COUNTIFS(Responses!$F$2:$F$1000,$A61,Responses!$C$2:$C$1000,$A$7)</f>
        <v>0</v>
      </c>
      <c r="E61" s="11" t="n">
        <f aca="false">COUNTIFS(Responses!$F$2:$F$1000,$A61,Responses!$C$2:$C$1000,$A$8)</f>
        <v>0</v>
      </c>
      <c r="F61" s="11" t="n">
        <f aca="false">COUNTIF(Responses!$F$2:$F$1000,$A61)</f>
        <v>0</v>
      </c>
      <c r="H61" s="51" t="str">
        <f aca="false">IF(B$58=0,"",B61/B$58)</f>
        <v/>
      </c>
      <c r="I61" s="51" t="str">
        <f aca="false">IF(C$58=0,"",C61/C$58)</f>
        <v/>
      </c>
      <c r="J61" s="51" t="str">
        <f aca="false">IF(D$58=0,"",D61/D$58)</f>
        <v/>
      </c>
      <c r="K61" s="51" t="str">
        <f aca="false">IF(E$58=0,"",E61/E$58)</f>
        <v/>
      </c>
      <c r="L61" s="51" t="str">
        <f aca="false">IF(F$58=0,"",F61/F$58)</f>
        <v/>
      </c>
      <c r="M61" s="13" t="str">
        <f aca="false">IF(COUNT(H61:K61)&lt;2,"",MAX(H61:K61)-MIN(H61:K61))</f>
        <v/>
      </c>
      <c r="N61" s="52" t="s">
        <v>202</v>
      </c>
      <c r="O61" s="53" t="str">
        <f aca="false">IF(M61="","",M61+ROW()/1000000000)</f>
        <v/>
      </c>
      <c r="P61" s="52" t="str">
        <f aca="false">IF(M61="","",INDEX($A$5:$A$8,MATCH(MAX(H61:K61),H61:K61,0)))</f>
        <v/>
      </c>
      <c r="Q61" s="52" t="str">
        <f aca="false">IF(M61="","",INDEX($A$5:$A$8,MATCH(MIN(H61:K61),H61:K61,0)))</f>
        <v/>
      </c>
    </row>
    <row r="62" customFormat="false" ht="15" hidden="false" customHeight="false" outlineLevel="0" collapsed="false">
      <c r="A62" s="25" t="s">
        <v>128</v>
      </c>
      <c r="B62" s="11" t="n">
        <f aca="false">COUNTIFS(Responses!$F$2:$F$1000,$A62,Responses!$C$2:$C$1000,$A$5)</f>
        <v>0</v>
      </c>
      <c r="C62" s="11" t="n">
        <f aca="false">COUNTIFS(Responses!$F$2:$F$1000,$A62,Responses!$C$2:$C$1000,$A$6)</f>
        <v>0</v>
      </c>
      <c r="D62" s="11" t="n">
        <f aca="false">COUNTIFS(Responses!$F$2:$F$1000,$A62,Responses!$C$2:$C$1000,$A$7)</f>
        <v>0</v>
      </c>
      <c r="E62" s="11" t="n">
        <f aca="false">COUNTIFS(Responses!$F$2:$F$1000,$A62,Responses!$C$2:$C$1000,$A$8)</f>
        <v>0</v>
      </c>
      <c r="F62" s="11" t="n">
        <f aca="false">COUNTIF(Responses!$F$2:$F$1000,$A62)</f>
        <v>0</v>
      </c>
      <c r="H62" s="51" t="str">
        <f aca="false">IF(B$58=0,"",B62/B$58)</f>
        <v/>
      </c>
      <c r="I62" s="51" t="str">
        <f aca="false">IF(C$58=0,"",C62/C$58)</f>
        <v/>
      </c>
      <c r="J62" s="51" t="str">
        <f aca="false">IF(D$58=0,"",D62/D$58)</f>
        <v/>
      </c>
      <c r="K62" s="51" t="str">
        <f aca="false">IF(E$58=0,"",E62/E$58)</f>
        <v/>
      </c>
      <c r="L62" s="51" t="str">
        <f aca="false">IF(F$58=0,"",F62/F$58)</f>
        <v/>
      </c>
      <c r="M62" s="13" t="str">
        <f aca="false">IF(COUNT(H62:K62)&lt;2,"",MAX(H62:K62)-MIN(H62:K62))</f>
        <v/>
      </c>
      <c r="N62" s="52" t="s">
        <v>202</v>
      </c>
      <c r="O62" s="53" t="str">
        <f aca="false">IF(M62="","",M62+ROW()/1000000000)</f>
        <v/>
      </c>
      <c r="P62" s="52" t="str">
        <f aca="false">IF(M62="","",INDEX($A$5:$A$8,MATCH(MAX(H62:K62),H62:K62,0)))</f>
        <v/>
      </c>
      <c r="Q62" s="52" t="str">
        <f aca="false">IF(M62="","",INDEX($A$5:$A$8,MATCH(MIN(H62:K62),H62:K62,0)))</f>
        <v/>
      </c>
    </row>
    <row r="63" customFormat="false" ht="15" hidden="false" customHeight="false" outlineLevel="0" collapsed="false">
      <c r="A63" s="25" t="s">
        <v>129</v>
      </c>
      <c r="B63" s="11" t="n">
        <f aca="false">COUNTIFS(Responses!$F$2:$F$1000,$A63,Responses!$C$2:$C$1000,$A$5)</f>
        <v>0</v>
      </c>
      <c r="C63" s="11" t="n">
        <f aca="false">COUNTIFS(Responses!$F$2:$F$1000,$A63,Responses!$C$2:$C$1000,$A$6)</f>
        <v>0</v>
      </c>
      <c r="D63" s="11" t="n">
        <f aca="false">COUNTIFS(Responses!$F$2:$F$1000,$A63,Responses!$C$2:$C$1000,$A$7)</f>
        <v>0</v>
      </c>
      <c r="E63" s="11" t="n">
        <f aca="false">COUNTIFS(Responses!$F$2:$F$1000,$A63,Responses!$C$2:$C$1000,$A$8)</f>
        <v>0</v>
      </c>
      <c r="F63" s="11" t="n">
        <f aca="false">COUNTIF(Responses!$F$2:$F$1000,$A63)</f>
        <v>0</v>
      </c>
      <c r="H63" s="51" t="str">
        <f aca="false">IF(B$58=0,"",B63/B$58)</f>
        <v/>
      </c>
      <c r="I63" s="51" t="str">
        <f aca="false">IF(C$58=0,"",C63/C$58)</f>
        <v/>
      </c>
      <c r="J63" s="51" t="str">
        <f aca="false">IF(D$58=0,"",D63/D$58)</f>
        <v/>
      </c>
      <c r="K63" s="51" t="str">
        <f aca="false">IF(E$58=0,"",E63/E$58)</f>
        <v/>
      </c>
      <c r="L63" s="51" t="str">
        <f aca="false">IF(F$58=0,"",F63/F$58)</f>
        <v/>
      </c>
      <c r="M63" s="13" t="str">
        <f aca="false">IF(COUNT(H63:K63)&lt;2,"",MAX(H63:K63)-MIN(H63:K63))</f>
        <v/>
      </c>
      <c r="N63" s="52" t="s">
        <v>202</v>
      </c>
      <c r="O63" s="53" t="str">
        <f aca="false">IF(M63="","",M63+ROW()/1000000000)</f>
        <v/>
      </c>
      <c r="P63" s="52" t="str">
        <f aca="false">IF(M63="","",INDEX($A$5:$A$8,MATCH(MAX(H63:K63),H63:K63,0)))</f>
        <v/>
      </c>
      <c r="Q63" s="52" t="str">
        <f aca="false">IF(M63="","",INDEX($A$5:$A$8,MATCH(MIN(H63:K63),H63:K63,0)))</f>
        <v/>
      </c>
    </row>
    <row r="66" customFormat="false" ht="31.5" hidden="false" customHeight="true" outlineLevel="0" collapsed="false">
      <c r="A66" s="22" t="s">
        <v>130</v>
      </c>
      <c r="B66" s="4"/>
      <c r="C66" s="4"/>
      <c r="D66" s="4"/>
      <c r="E66" s="4"/>
      <c r="F66" s="4"/>
      <c r="G66" s="4"/>
      <c r="H66" s="4"/>
      <c r="I66" s="4"/>
      <c r="J66" s="4"/>
      <c r="K66" s="4"/>
      <c r="L66" s="4"/>
      <c r="M66" s="4"/>
    </row>
    <row r="67" customFormat="false" ht="23.85" hidden="false" customHeight="true" outlineLevel="0" collapsed="false">
      <c r="A67" s="23" t="s">
        <v>194</v>
      </c>
      <c r="B67" s="48" t="s">
        <v>99</v>
      </c>
      <c r="C67" s="48"/>
      <c r="D67" s="48"/>
      <c r="E67" s="48"/>
      <c r="F67" s="48"/>
      <c r="H67" s="48" t="s">
        <v>195</v>
      </c>
      <c r="I67" s="48"/>
      <c r="J67" s="48"/>
      <c r="K67" s="48"/>
      <c r="L67" s="48"/>
      <c r="M67" s="49" t="s">
        <v>196</v>
      </c>
    </row>
    <row r="68" customFormat="false" ht="37.5" hidden="false" customHeight="true" outlineLevel="0" collapsed="false">
      <c r="A68" s="50"/>
      <c r="B68" s="33" t="str">
        <f aca="false">$A$5</f>
        <v>Student only</v>
      </c>
      <c r="C68" s="33" t="str">
        <f aca="false">$A$6</f>
        <v>Employed only (full-time or part-time)</v>
      </c>
      <c r="D68" s="33" t="str">
        <f aca="false">$A$7</f>
        <v>Both student and employed</v>
      </c>
      <c r="E68" s="33" t="str">
        <f aca="false">$A$8</f>
        <v>Neither at the moment</v>
      </c>
      <c r="F68" s="33" t="s">
        <v>197</v>
      </c>
      <c r="H68" s="33" t="str">
        <f aca="false">$A$5</f>
        <v>Student only</v>
      </c>
      <c r="I68" s="33" t="str">
        <f aca="false">$A$6</f>
        <v>Employed only (full-time or part-time)</v>
      </c>
      <c r="J68" s="33" t="str">
        <f aca="false">$A$7</f>
        <v>Both student and employed</v>
      </c>
      <c r="K68" s="33" t="str">
        <f aca="false">$A$8</f>
        <v>Neither at the moment</v>
      </c>
      <c r="L68" s="33" t="s">
        <v>197</v>
      </c>
    </row>
    <row r="69" customFormat="false" ht="15" hidden="false" customHeight="false" outlineLevel="0" collapsed="false">
      <c r="A69" s="26" t="s">
        <v>198</v>
      </c>
      <c r="B69" s="27" t="n">
        <f aca="false">COUNTIFS(Responses!$C$2:$C$1000,$A$5,Responses!$G$2:$G$1000,"&lt;&gt;")</f>
        <v>0</v>
      </c>
      <c r="C69" s="27" t="n">
        <f aca="false">COUNTIFS(Responses!$C$2:$C$1000,$A$6,Responses!$G$2:$G$1000,"&lt;&gt;")</f>
        <v>0</v>
      </c>
      <c r="D69" s="27" t="n">
        <f aca="false">COUNTIFS(Responses!$C$2:$C$1000,$A$7,Responses!$G$2:$G$1000,"&lt;&gt;")</f>
        <v>0</v>
      </c>
      <c r="E69" s="27" t="n">
        <f aca="false">COUNTIFS(Responses!$C$2:$C$1000,$A$8,Responses!$G$2:$G$1000,"&lt;&gt;")</f>
        <v>0</v>
      </c>
      <c r="F69" s="27" t="n">
        <f aca="false">COUNTA(Responses!$G$2:$G$1000)</f>
        <v>0</v>
      </c>
    </row>
    <row r="70" customFormat="false" ht="25.5" hidden="false" customHeight="true" outlineLevel="0" collapsed="false">
      <c r="A70" s="44" t="s">
        <v>203</v>
      </c>
      <c r="B70" s="11" t="n">
        <f aca="false">COUNTIFS(Responses!$G$2:$G$1000,"Agree",Responses!$C$2:$C$1000,$A$5)+COUNTIFS(Responses!$G$2:$G$1000,"Strongly agree",Responses!$C$2:$C$1000,$A$5)</f>
        <v>0</v>
      </c>
      <c r="C70" s="11" t="n">
        <f aca="false">COUNTIFS(Responses!$G$2:$G$1000,"Agree",Responses!$C$2:$C$1000,$A$6)+COUNTIFS(Responses!$G$2:$G$1000,"Strongly agree",Responses!$C$2:$C$1000,$A$6)</f>
        <v>0</v>
      </c>
      <c r="D70" s="11" t="n">
        <f aca="false">COUNTIFS(Responses!$G$2:$G$1000,"Agree",Responses!$C$2:$C$1000,$A$7)+COUNTIFS(Responses!$G$2:$G$1000,"Strongly agree",Responses!$C$2:$C$1000,$A$7)</f>
        <v>0</v>
      </c>
      <c r="E70" s="11" t="n">
        <f aca="false">COUNTIFS(Responses!$G$2:$G$1000,"Agree",Responses!$C$2:$C$1000,$A$8)+COUNTIFS(Responses!$G$2:$G$1000,"Strongly agree",Responses!$C$2:$C$1000,$A$8)</f>
        <v>0</v>
      </c>
      <c r="F70" s="11" t="n">
        <f aca="false">COUNTIF(Responses!$G$2:$G$1000,"Agree")+COUNTIF(Responses!$G$2:$G$1000,"Strongly agree")</f>
        <v>0</v>
      </c>
      <c r="H70" s="51" t="str">
        <f aca="false">IF(B$69=0,"",B70/B$69)</f>
        <v/>
      </c>
      <c r="I70" s="51" t="str">
        <f aca="false">IF(C$69=0,"",C70/C$69)</f>
        <v/>
      </c>
      <c r="J70" s="51" t="str">
        <f aca="false">IF(D$69=0,"",D70/D$69)</f>
        <v/>
      </c>
      <c r="K70" s="51" t="str">
        <f aca="false">IF(E$69=0,"",E70/E$69)</f>
        <v/>
      </c>
      <c r="L70" s="51" t="str">
        <f aca="false">IF(F$69=0,"",F70/F$69)</f>
        <v/>
      </c>
      <c r="M70" s="13" t="str">
        <f aca="false">IF(COUNT(H70:K70)&lt;2,"",MAX(H70:K70)-MIN(H70:K70))</f>
        <v/>
      </c>
      <c r="N70" s="52" t="s">
        <v>204</v>
      </c>
      <c r="O70" s="53" t="str">
        <f aca="false">IF(M70="","",M70+ROW()/1000000000)</f>
        <v/>
      </c>
      <c r="P70" s="52" t="str">
        <f aca="false">IF(M70="","",INDEX($A$5:$A$8,MATCH(MAX(H70:K70),H70:K70,0)))</f>
        <v/>
      </c>
      <c r="Q70" s="52" t="str">
        <f aca="false">IF(M70="","",INDEX($A$5:$A$8,MATCH(MIN(H70:K70),H70:K70,0)))</f>
        <v/>
      </c>
    </row>
    <row r="71" customFormat="false" ht="25.5" hidden="false" customHeight="true" outlineLevel="0" collapsed="false">
      <c r="A71" s="44" t="s">
        <v>205</v>
      </c>
      <c r="B71" s="11" t="n">
        <f aca="false">COUNTIFS(Responses!$H$2:$H$1000,"Agree",Responses!$C$2:$C$1000,$A$5)+COUNTIFS(Responses!$H$2:$H$1000,"Strongly agree",Responses!$C$2:$C$1000,$A$5)</f>
        <v>0</v>
      </c>
      <c r="C71" s="11" t="n">
        <f aca="false">COUNTIFS(Responses!$H$2:$H$1000,"Agree",Responses!$C$2:$C$1000,$A$6)+COUNTIFS(Responses!$H$2:$H$1000,"Strongly agree",Responses!$C$2:$C$1000,$A$6)</f>
        <v>0</v>
      </c>
      <c r="D71" s="11" t="n">
        <f aca="false">COUNTIFS(Responses!$H$2:$H$1000,"Agree",Responses!$C$2:$C$1000,$A$7)+COUNTIFS(Responses!$H$2:$H$1000,"Strongly agree",Responses!$C$2:$C$1000,$A$7)</f>
        <v>0</v>
      </c>
      <c r="E71" s="11" t="n">
        <f aca="false">COUNTIFS(Responses!$H$2:$H$1000,"Agree",Responses!$C$2:$C$1000,$A$8)+COUNTIFS(Responses!$H$2:$H$1000,"Strongly agree",Responses!$C$2:$C$1000,$A$8)</f>
        <v>0</v>
      </c>
      <c r="F71" s="11" t="n">
        <f aca="false">COUNTIF(Responses!$H$2:$H$1000,"Agree")+COUNTIF(Responses!$H$2:$H$1000,"Strongly agree")</f>
        <v>0</v>
      </c>
      <c r="H71" s="51" t="str">
        <f aca="false">IF(B$69=0,"",B71/B$69)</f>
        <v/>
      </c>
      <c r="I71" s="51" t="str">
        <f aca="false">IF(C$69=0,"",C71/C$69)</f>
        <v/>
      </c>
      <c r="J71" s="51" t="str">
        <f aca="false">IF(D$69=0,"",D71/D$69)</f>
        <v/>
      </c>
      <c r="K71" s="51" t="str">
        <f aca="false">IF(E$69=0,"",E71/E$69)</f>
        <v/>
      </c>
      <c r="L71" s="51" t="str">
        <f aca="false">IF(F$69=0,"",F71/F$69)</f>
        <v/>
      </c>
      <c r="M71" s="13" t="str">
        <f aca="false">IF(COUNT(H71:K71)&lt;2,"",MAX(H71:K71)-MIN(H71:K71))</f>
        <v/>
      </c>
      <c r="N71" s="52" t="s">
        <v>204</v>
      </c>
      <c r="O71" s="53" t="str">
        <f aca="false">IF(M71="","",M71+ROW()/1000000000)</f>
        <v/>
      </c>
      <c r="P71" s="52" t="str">
        <f aca="false">IF(M71="","",INDEX($A$5:$A$8,MATCH(MAX(H71:K71),H71:K71,0)))</f>
        <v/>
      </c>
      <c r="Q71" s="52" t="str">
        <f aca="false">IF(M71="","",INDEX($A$5:$A$8,MATCH(MIN(H71:K71),H71:K71,0)))</f>
        <v/>
      </c>
    </row>
    <row r="72" customFormat="false" ht="25.5" hidden="false" customHeight="true" outlineLevel="0" collapsed="false">
      <c r="A72" s="44" t="s">
        <v>206</v>
      </c>
      <c r="B72" s="11" t="n">
        <f aca="false">COUNTIFS(Responses!$I$2:$I$1000,"Agree",Responses!$C$2:$C$1000,$A$5)+COUNTIFS(Responses!$I$2:$I$1000,"Strongly agree",Responses!$C$2:$C$1000,$A$5)</f>
        <v>0</v>
      </c>
      <c r="C72" s="11" t="n">
        <f aca="false">COUNTIFS(Responses!$I$2:$I$1000,"Agree",Responses!$C$2:$C$1000,$A$6)+COUNTIFS(Responses!$I$2:$I$1000,"Strongly agree",Responses!$C$2:$C$1000,$A$6)</f>
        <v>0</v>
      </c>
      <c r="D72" s="11" t="n">
        <f aca="false">COUNTIFS(Responses!$I$2:$I$1000,"Agree",Responses!$C$2:$C$1000,$A$7)+COUNTIFS(Responses!$I$2:$I$1000,"Strongly agree",Responses!$C$2:$C$1000,$A$7)</f>
        <v>0</v>
      </c>
      <c r="E72" s="11" t="n">
        <f aca="false">COUNTIFS(Responses!$I$2:$I$1000,"Agree",Responses!$C$2:$C$1000,$A$8)+COUNTIFS(Responses!$I$2:$I$1000,"Strongly agree",Responses!$C$2:$C$1000,$A$8)</f>
        <v>0</v>
      </c>
      <c r="F72" s="11" t="n">
        <f aca="false">COUNTIF(Responses!$I$2:$I$1000,"Agree")+COUNTIF(Responses!$I$2:$I$1000,"Strongly agree")</f>
        <v>0</v>
      </c>
      <c r="H72" s="51" t="str">
        <f aca="false">IF(B$69=0,"",B72/B$69)</f>
        <v/>
      </c>
      <c r="I72" s="51" t="str">
        <f aca="false">IF(C$69=0,"",C72/C$69)</f>
        <v/>
      </c>
      <c r="J72" s="51" t="str">
        <f aca="false">IF(D$69=0,"",D72/D$69)</f>
        <v/>
      </c>
      <c r="K72" s="51" t="str">
        <f aca="false">IF(E$69=0,"",E72/E$69)</f>
        <v/>
      </c>
      <c r="L72" s="51" t="str">
        <f aca="false">IF(F$69=0,"",F72/F$69)</f>
        <v/>
      </c>
      <c r="M72" s="13" t="str">
        <f aca="false">IF(COUNT(H72:K72)&lt;2,"",MAX(H72:K72)-MIN(H72:K72))</f>
        <v/>
      </c>
      <c r="N72" s="52" t="s">
        <v>204</v>
      </c>
      <c r="O72" s="53" t="str">
        <f aca="false">IF(M72="","",M72+ROW()/1000000000)</f>
        <v/>
      </c>
      <c r="P72" s="52" t="str">
        <f aca="false">IF(M72="","",INDEX($A$5:$A$8,MATCH(MAX(H72:K72),H72:K72,0)))</f>
        <v/>
      </c>
      <c r="Q72" s="52" t="str">
        <f aca="false">IF(M72="","",INDEX($A$5:$A$8,MATCH(MIN(H72:K72),H72:K72,0)))</f>
        <v/>
      </c>
    </row>
    <row r="75" customFormat="false" ht="31.5" hidden="false" customHeight="true" outlineLevel="0" collapsed="false">
      <c r="A75" s="22" t="s">
        <v>86</v>
      </c>
      <c r="B75" s="4"/>
      <c r="C75" s="4"/>
      <c r="D75" s="4"/>
      <c r="E75" s="4"/>
      <c r="F75" s="4"/>
      <c r="G75" s="4"/>
      <c r="H75" s="4"/>
      <c r="I75" s="4"/>
      <c r="J75" s="4"/>
      <c r="K75" s="4"/>
      <c r="L75" s="4"/>
      <c r="M75" s="4"/>
    </row>
    <row r="76" customFormat="false" ht="23.85" hidden="false" customHeight="true" outlineLevel="0" collapsed="false">
      <c r="A76" s="23" t="s">
        <v>194</v>
      </c>
      <c r="B76" s="48" t="s">
        <v>99</v>
      </c>
      <c r="C76" s="48"/>
      <c r="D76" s="48"/>
      <c r="E76" s="48"/>
      <c r="F76" s="48"/>
      <c r="H76" s="48" t="s">
        <v>195</v>
      </c>
      <c r="I76" s="48"/>
      <c r="J76" s="48"/>
      <c r="K76" s="48"/>
      <c r="L76" s="48"/>
      <c r="M76" s="49" t="s">
        <v>196</v>
      </c>
    </row>
    <row r="77" customFormat="false" ht="37.5" hidden="false" customHeight="true" outlineLevel="0" collapsed="false">
      <c r="A77" s="50"/>
      <c r="B77" s="33" t="str">
        <f aca="false">$A$5</f>
        <v>Student only</v>
      </c>
      <c r="C77" s="33" t="str">
        <f aca="false">$A$6</f>
        <v>Employed only (full-time or part-time)</v>
      </c>
      <c r="D77" s="33" t="str">
        <f aca="false">$A$7</f>
        <v>Both student and employed</v>
      </c>
      <c r="E77" s="33" t="str">
        <f aca="false">$A$8</f>
        <v>Neither at the moment</v>
      </c>
      <c r="F77" s="33" t="s">
        <v>197</v>
      </c>
      <c r="H77" s="33" t="str">
        <f aca="false">$A$5</f>
        <v>Student only</v>
      </c>
      <c r="I77" s="33" t="str">
        <f aca="false">$A$6</f>
        <v>Employed only (full-time or part-time)</v>
      </c>
      <c r="J77" s="33" t="str">
        <f aca="false">$A$7</f>
        <v>Both student and employed</v>
      </c>
      <c r="K77" s="33" t="str">
        <f aca="false">$A$8</f>
        <v>Neither at the moment</v>
      </c>
      <c r="L77" s="33" t="s">
        <v>197</v>
      </c>
    </row>
    <row r="78" customFormat="false" ht="15" hidden="false" customHeight="false" outlineLevel="0" collapsed="false">
      <c r="A78" s="26" t="s">
        <v>198</v>
      </c>
      <c r="B78" s="27" t="n">
        <f aca="false">COUNTIFS(Responses!$C$2:$C$1000,$A$5,Responses!$J$2:$J$1000,"&lt;&gt;")</f>
        <v>0</v>
      </c>
      <c r="C78" s="27" t="n">
        <f aca="false">COUNTIFS(Responses!$C$2:$C$1000,$A$6,Responses!$J$2:$J$1000,"&lt;&gt;")</f>
        <v>0</v>
      </c>
      <c r="D78" s="27" t="n">
        <f aca="false">COUNTIFS(Responses!$C$2:$C$1000,$A$7,Responses!$J$2:$J$1000,"&lt;&gt;")</f>
        <v>0</v>
      </c>
      <c r="E78" s="27" t="n">
        <f aca="false">COUNTIFS(Responses!$C$2:$C$1000,$A$8,Responses!$J$2:$J$1000,"&lt;&gt;")</f>
        <v>0</v>
      </c>
      <c r="F78" s="27" t="n">
        <f aca="false">COUNTA(Responses!$J$2:$J$1000)</f>
        <v>0</v>
      </c>
    </row>
    <row r="79" customFormat="false" ht="15" hidden="false" customHeight="false" outlineLevel="0" collapsed="false">
      <c r="A79" s="25" t="s">
        <v>207</v>
      </c>
      <c r="B79" s="11" t="n">
        <f aca="false">COUNTIFS(Responses!$J$2:$J$1000,"&gt;=4",Responses!$C$2:$C$1000,$A$5)</f>
        <v>0</v>
      </c>
      <c r="C79" s="11" t="n">
        <f aca="false">COUNTIFS(Responses!$J$2:$J$1000,"&gt;=4",Responses!$C$2:$C$1000,$A$6)</f>
        <v>0</v>
      </c>
      <c r="D79" s="11" t="n">
        <f aca="false">COUNTIFS(Responses!$J$2:$J$1000,"&gt;=4",Responses!$C$2:$C$1000,$A$7)</f>
        <v>0</v>
      </c>
      <c r="E79" s="11" t="n">
        <f aca="false">COUNTIFS(Responses!$J$2:$J$1000,"&gt;=4",Responses!$C$2:$C$1000,$A$8)</f>
        <v>0</v>
      </c>
      <c r="F79" s="11" t="n">
        <f aca="false">COUNTIF(Responses!$J$2:$J$1000,"&gt;=4")</f>
        <v>0</v>
      </c>
      <c r="H79" s="51" t="str">
        <f aca="false">IF(B$78=0,"",B79/B$78)</f>
        <v/>
      </c>
      <c r="I79" s="51" t="str">
        <f aca="false">IF(C$78=0,"",C79/C$78)</f>
        <v/>
      </c>
      <c r="J79" s="51" t="str">
        <f aca="false">IF(D$78=0,"",D79/D$78)</f>
        <v/>
      </c>
      <c r="K79" s="51" t="str">
        <f aca="false">IF(E$78=0,"",E79/E$78)</f>
        <v/>
      </c>
      <c r="L79" s="51" t="str">
        <f aca="false">IF(F$78=0,"",F79/F$78)</f>
        <v/>
      </c>
      <c r="M79" s="13" t="str">
        <f aca="false">IF(COUNT(H79:K79)&lt;2,"",MAX(H79:K79)-MIN(H79:K79))</f>
        <v/>
      </c>
      <c r="N79" s="52" t="s">
        <v>208</v>
      </c>
      <c r="O79" s="53" t="str">
        <f aca="false">IF(M79="","",M79+ROW()/1000000000)</f>
        <v/>
      </c>
      <c r="P79" s="52" t="str">
        <f aca="false">IF(M79="","",INDEX($A$5:$A$8,MATCH(MAX(H79:K79),H79:K79,0)))</f>
        <v/>
      </c>
      <c r="Q79" s="52" t="str">
        <f aca="false">IF(M79="","",INDEX($A$5:$A$8,MATCH(MIN(H79:K79),H79:K79,0)))</f>
        <v/>
      </c>
    </row>
    <row r="80" customFormat="false" ht="15" hidden="false" customHeight="false" outlineLevel="0" collapsed="false">
      <c r="A80" s="26" t="s">
        <v>209</v>
      </c>
      <c r="B80" s="25"/>
      <c r="C80" s="25"/>
      <c r="D80" s="25"/>
      <c r="E80" s="25"/>
      <c r="F80" s="25"/>
      <c r="H80" s="35" t="str">
        <f aca="false">IFERROR(AVERAGEIFS(Responses!$J$2:$J$1000,Responses!$C$2:$C$1000,$A$5),"")</f>
        <v/>
      </c>
      <c r="I80" s="35" t="str">
        <f aca="false">IFERROR(AVERAGEIFS(Responses!$J$2:$J$1000,Responses!$C$2:$C$1000,$A$6),"")</f>
        <v/>
      </c>
      <c r="J80" s="35" t="str">
        <f aca="false">IFERROR(AVERAGEIFS(Responses!$J$2:$J$1000,Responses!$C$2:$C$1000,$A$7),"")</f>
        <v/>
      </c>
      <c r="K80" s="35" t="str">
        <f aca="false">IFERROR(AVERAGEIFS(Responses!$J$2:$J$1000,Responses!$C$2:$C$1000,$A$8),"")</f>
        <v/>
      </c>
      <c r="L80" s="35" t="str">
        <f aca="false">IFERROR(AVERAGE(Responses!$J$2:$J$1000),"")</f>
        <v/>
      </c>
      <c r="M80" s="54" t="str">
        <f aca="false">IF(COUNT(H80:K80)&lt;2,"",MAX(H80:K80)-MIN(H80:K80))</f>
        <v/>
      </c>
    </row>
    <row r="83" customFormat="false" ht="31.5" hidden="false" customHeight="true" outlineLevel="0" collapsed="false">
      <c r="A83" s="22" t="s">
        <v>87</v>
      </c>
      <c r="B83" s="4"/>
      <c r="C83" s="4"/>
      <c r="D83" s="4"/>
      <c r="E83" s="4"/>
      <c r="F83" s="4"/>
      <c r="G83" s="4"/>
      <c r="H83" s="4"/>
      <c r="I83" s="4"/>
      <c r="J83" s="4"/>
      <c r="K83" s="4"/>
      <c r="L83" s="4"/>
      <c r="M83" s="4"/>
    </row>
    <row r="84" customFormat="false" ht="23.85" hidden="false" customHeight="true" outlineLevel="0" collapsed="false">
      <c r="A84" s="23" t="s">
        <v>194</v>
      </c>
      <c r="B84" s="48" t="s">
        <v>99</v>
      </c>
      <c r="C84" s="48"/>
      <c r="D84" s="48"/>
      <c r="E84" s="48"/>
      <c r="F84" s="48"/>
      <c r="H84" s="48" t="s">
        <v>195</v>
      </c>
      <c r="I84" s="48"/>
      <c r="J84" s="48"/>
      <c r="K84" s="48"/>
      <c r="L84" s="48"/>
      <c r="M84" s="49" t="s">
        <v>196</v>
      </c>
    </row>
    <row r="85" customFormat="false" ht="37.5" hidden="false" customHeight="true" outlineLevel="0" collapsed="false">
      <c r="A85" s="50"/>
      <c r="B85" s="33" t="str">
        <f aca="false">$A$5</f>
        <v>Student only</v>
      </c>
      <c r="C85" s="33" t="str">
        <f aca="false">$A$6</f>
        <v>Employed only (full-time or part-time)</v>
      </c>
      <c r="D85" s="33" t="str">
        <f aca="false">$A$7</f>
        <v>Both student and employed</v>
      </c>
      <c r="E85" s="33" t="str">
        <f aca="false">$A$8</f>
        <v>Neither at the moment</v>
      </c>
      <c r="F85" s="33" t="s">
        <v>197</v>
      </c>
      <c r="H85" s="33" t="str">
        <f aca="false">$A$5</f>
        <v>Student only</v>
      </c>
      <c r="I85" s="33" t="str">
        <f aca="false">$A$6</f>
        <v>Employed only (full-time or part-time)</v>
      </c>
      <c r="J85" s="33" t="str">
        <f aca="false">$A$7</f>
        <v>Both student and employed</v>
      </c>
      <c r="K85" s="33" t="str">
        <f aca="false">$A$8</f>
        <v>Neither at the moment</v>
      </c>
      <c r="L85" s="33" t="s">
        <v>197</v>
      </c>
    </row>
    <row r="86" customFormat="false" ht="15" hidden="false" customHeight="false" outlineLevel="0" collapsed="false">
      <c r="A86" s="26" t="s">
        <v>198</v>
      </c>
      <c r="B86" s="27" t="n">
        <f aca="false">COUNTIFS(Responses!$C$2:$C$1000,$A$5,Responses!$K$2:$K$1000,"&lt;&gt;")</f>
        <v>0</v>
      </c>
      <c r="C86" s="27" t="n">
        <f aca="false">COUNTIFS(Responses!$C$2:$C$1000,$A$6,Responses!$K$2:$K$1000,"&lt;&gt;")</f>
        <v>0</v>
      </c>
      <c r="D86" s="27" t="n">
        <f aca="false">COUNTIFS(Responses!$C$2:$C$1000,$A$7,Responses!$K$2:$K$1000,"&lt;&gt;")</f>
        <v>0</v>
      </c>
      <c r="E86" s="27" t="n">
        <f aca="false">COUNTIFS(Responses!$C$2:$C$1000,$A$8,Responses!$K$2:$K$1000,"&lt;&gt;")</f>
        <v>0</v>
      </c>
      <c r="F86" s="27" t="n">
        <f aca="false">COUNTA(Responses!$K$2:$K$1000)</f>
        <v>0</v>
      </c>
    </row>
    <row r="87" customFormat="false" ht="15" hidden="false" customHeight="false" outlineLevel="0" collapsed="false">
      <c r="A87" s="25" t="s">
        <v>150</v>
      </c>
      <c r="B87" s="11" t="n">
        <f aca="false">COUNTIFS(Responses!$K$2:$K$1000,$A87,Responses!$C$2:$C$1000,$A$5)</f>
        <v>0</v>
      </c>
      <c r="C87" s="11" t="n">
        <f aca="false">COUNTIFS(Responses!$K$2:$K$1000,$A87,Responses!$C$2:$C$1000,$A$6)</f>
        <v>0</v>
      </c>
      <c r="D87" s="11" t="n">
        <f aca="false">COUNTIFS(Responses!$K$2:$K$1000,$A87,Responses!$C$2:$C$1000,$A$7)</f>
        <v>0</v>
      </c>
      <c r="E87" s="11" t="n">
        <f aca="false">COUNTIFS(Responses!$K$2:$K$1000,$A87,Responses!$C$2:$C$1000,$A$8)</f>
        <v>0</v>
      </c>
      <c r="F87" s="11" t="n">
        <f aca="false">COUNTIF(Responses!$K$2:$K$1000,$A87)</f>
        <v>0</v>
      </c>
      <c r="H87" s="51" t="str">
        <f aca="false">IF(B$86=0,"",B87/B$86)</f>
        <v/>
      </c>
      <c r="I87" s="51" t="str">
        <f aca="false">IF(C$86=0,"",C87/C$86)</f>
        <v/>
      </c>
      <c r="J87" s="51" t="str">
        <f aca="false">IF(D$86=0,"",D87/D$86)</f>
        <v/>
      </c>
      <c r="K87" s="51" t="str">
        <f aca="false">IF(E$86=0,"",E87/E$86)</f>
        <v/>
      </c>
      <c r="L87" s="51" t="str">
        <f aca="false">IF(F$86=0,"",F87/F$86)</f>
        <v/>
      </c>
      <c r="M87" s="13" t="str">
        <f aca="false">IF(COUNT(H87:K87)&lt;2,"",MAX(H87:K87)-MIN(H87:K87))</f>
        <v/>
      </c>
      <c r="N87" s="52" t="s">
        <v>210</v>
      </c>
      <c r="O87" s="53" t="str">
        <f aca="false">IF(M87="","",M87+ROW()/1000000000)</f>
        <v/>
      </c>
      <c r="P87" s="52" t="str">
        <f aca="false">IF(M87="","",INDEX($A$5:$A$8,MATCH(MAX(H87:K87),H87:K87,0)))</f>
        <v/>
      </c>
      <c r="Q87" s="52" t="str">
        <f aca="false">IF(M87="","",INDEX($A$5:$A$8,MATCH(MIN(H87:K87),H87:K87,0)))</f>
        <v/>
      </c>
    </row>
    <row r="88" customFormat="false" ht="15" hidden="false" customHeight="false" outlineLevel="0" collapsed="false">
      <c r="A88" s="25" t="s">
        <v>54</v>
      </c>
      <c r="B88" s="11" t="n">
        <f aca="false">COUNTIFS(Responses!$K$2:$K$1000,$A88,Responses!$C$2:$C$1000,$A$5)</f>
        <v>0</v>
      </c>
      <c r="C88" s="11" t="n">
        <f aca="false">COUNTIFS(Responses!$K$2:$K$1000,$A88,Responses!$C$2:$C$1000,$A$6)</f>
        <v>0</v>
      </c>
      <c r="D88" s="11" t="n">
        <f aca="false">COUNTIFS(Responses!$K$2:$K$1000,$A88,Responses!$C$2:$C$1000,$A$7)</f>
        <v>0</v>
      </c>
      <c r="E88" s="11" t="n">
        <f aca="false">COUNTIFS(Responses!$K$2:$K$1000,$A88,Responses!$C$2:$C$1000,$A$8)</f>
        <v>0</v>
      </c>
      <c r="F88" s="11" t="n">
        <f aca="false">COUNTIF(Responses!$K$2:$K$1000,$A88)</f>
        <v>0</v>
      </c>
      <c r="H88" s="51" t="str">
        <f aca="false">IF(B$86=0,"",B88/B$86)</f>
        <v/>
      </c>
      <c r="I88" s="51" t="str">
        <f aca="false">IF(C$86=0,"",C88/C$86)</f>
        <v/>
      </c>
      <c r="J88" s="51" t="str">
        <f aca="false">IF(D$86=0,"",D88/D$86)</f>
        <v/>
      </c>
      <c r="K88" s="51" t="str">
        <f aca="false">IF(E$86=0,"",E88/E$86)</f>
        <v/>
      </c>
      <c r="L88" s="51" t="str">
        <f aca="false">IF(F$86=0,"",F88/F$86)</f>
        <v/>
      </c>
      <c r="M88" s="13" t="str">
        <f aca="false">IF(COUNT(H88:K88)&lt;2,"",MAX(H88:K88)-MIN(H88:K88))</f>
        <v/>
      </c>
      <c r="N88" s="52" t="s">
        <v>210</v>
      </c>
      <c r="O88" s="53" t="str">
        <f aca="false">IF(M88="","",M88+ROW()/1000000000)</f>
        <v/>
      </c>
      <c r="P88" s="52" t="str">
        <f aca="false">IF(M88="","",INDEX($A$5:$A$8,MATCH(MAX(H88:K88),H88:K88,0)))</f>
        <v/>
      </c>
      <c r="Q88" s="52" t="str">
        <f aca="false">IF(M88="","",INDEX($A$5:$A$8,MATCH(MIN(H88:K88),H88:K88,0)))</f>
        <v/>
      </c>
    </row>
    <row r="89" customFormat="false" ht="15" hidden="false" customHeight="false" outlineLevel="0" collapsed="false">
      <c r="A89" s="25" t="s">
        <v>151</v>
      </c>
      <c r="B89" s="11" t="n">
        <f aca="false">COUNTIFS(Responses!$K$2:$K$1000,$A89,Responses!$C$2:$C$1000,$A$5)</f>
        <v>0</v>
      </c>
      <c r="C89" s="11" t="n">
        <f aca="false">COUNTIFS(Responses!$K$2:$K$1000,$A89,Responses!$C$2:$C$1000,$A$6)</f>
        <v>0</v>
      </c>
      <c r="D89" s="11" t="n">
        <f aca="false">COUNTIFS(Responses!$K$2:$K$1000,$A89,Responses!$C$2:$C$1000,$A$7)</f>
        <v>0</v>
      </c>
      <c r="E89" s="11" t="n">
        <f aca="false">COUNTIFS(Responses!$K$2:$K$1000,$A89,Responses!$C$2:$C$1000,$A$8)</f>
        <v>0</v>
      </c>
      <c r="F89" s="11" t="n">
        <f aca="false">COUNTIF(Responses!$K$2:$K$1000,$A89)</f>
        <v>0</v>
      </c>
      <c r="H89" s="51" t="str">
        <f aca="false">IF(B$86=0,"",B89/B$86)</f>
        <v/>
      </c>
      <c r="I89" s="51" t="str">
        <f aca="false">IF(C$86=0,"",C89/C$86)</f>
        <v/>
      </c>
      <c r="J89" s="51" t="str">
        <f aca="false">IF(D$86=0,"",D89/D$86)</f>
        <v/>
      </c>
      <c r="K89" s="51" t="str">
        <f aca="false">IF(E$86=0,"",E89/E$86)</f>
        <v/>
      </c>
      <c r="L89" s="51" t="str">
        <f aca="false">IF(F$86=0,"",F89/F$86)</f>
        <v/>
      </c>
      <c r="M89" s="13" t="str">
        <f aca="false">IF(COUNT(H89:K89)&lt;2,"",MAX(H89:K89)-MIN(H89:K89))</f>
        <v/>
      </c>
      <c r="N89" s="52" t="s">
        <v>210</v>
      </c>
      <c r="O89" s="53" t="str">
        <f aca="false">IF(M89="","",M89+ROW()/1000000000)</f>
        <v/>
      </c>
      <c r="P89" s="52" t="str">
        <f aca="false">IF(M89="","",INDEX($A$5:$A$8,MATCH(MAX(H89:K89),H89:K89,0)))</f>
        <v/>
      </c>
      <c r="Q89" s="52" t="str">
        <f aca="false">IF(M89="","",INDEX($A$5:$A$8,MATCH(MIN(H89:K89),H89:K89,0)))</f>
        <v/>
      </c>
    </row>
    <row r="90" customFormat="false" ht="15" hidden="false" customHeight="false" outlineLevel="0" collapsed="false">
      <c r="A90" s="25" t="s">
        <v>152</v>
      </c>
      <c r="B90" s="11" t="n">
        <f aca="false">COUNTIFS(Responses!$K$2:$K$1000,$A90,Responses!$C$2:$C$1000,$A$5)</f>
        <v>0</v>
      </c>
      <c r="C90" s="11" t="n">
        <f aca="false">COUNTIFS(Responses!$K$2:$K$1000,$A90,Responses!$C$2:$C$1000,$A$6)</f>
        <v>0</v>
      </c>
      <c r="D90" s="11" t="n">
        <f aca="false">COUNTIFS(Responses!$K$2:$K$1000,$A90,Responses!$C$2:$C$1000,$A$7)</f>
        <v>0</v>
      </c>
      <c r="E90" s="11" t="n">
        <f aca="false">COUNTIFS(Responses!$K$2:$K$1000,$A90,Responses!$C$2:$C$1000,$A$8)</f>
        <v>0</v>
      </c>
      <c r="F90" s="11" t="n">
        <f aca="false">COUNTIF(Responses!$K$2:$K$1000,$A90)</f>
        <v>0</v>
      </c>
      <c r="H90" s="51" t="str">
        <f aca="false">IF(B$86=0,"",B90/B$86)</f>
        <v/>
      </c>
      <c r="I90" s="51" t="str">
        <f aca="false">IF(C$86=0,"",C90/C$86)</f>
        <v/>
      </c>
      <c r="J90" s="51" t="str">
        <f aca="false">IF(D$86=0,"",D90/D$86)</f>
        <v/>
      </c>
      <c r="K90" s="51" t="str">
        <f aca="false">IF(E$86=0,"",E90/E$86)</f>
        <v/>
      </c>
      <c r="L90" s="51" t="str">
        <f aca="false">IF(F$86=0,"",F90/F$86)</f>
        <v/>
      </c>
      <c r="M90" s="13" t="str">
        <f aca="false">IF(COUNT(H90:K90)&lt;2,"",MAX(H90:K90)-MIN(H90:K90))</f>
        <v/>
      </c>
      <c r="N90" s="52" t="s">
        <v>210</v>
      </c>
      <c r="O90" s="53" t="str">
        <f aca="false">IF(M90="","",M90+ROW()/1000000000)</f>
        <v/>
      </c>
      <c r="P90" s="52" t="str">
        <f aca="false">IF(M90="","",INDEX($A$5:$A$8,MATCH(MAX(H90:K90),H90:K90,0)))</f>
        <v/>
      </c>
      <c r="Q90" s="52" t="str">
        <f aca="false">IF(M90="","",INDEX($A$5:$A$8,MATCH(MIN(H90:K90),H90:K90,0)))</f>
        <v/>
      </c>
    </row>
    <row r="93" customFormat="false" ht="31.5" hidden="false" customHeight="true" outlineLevel="0" collapsed="false">
      <c r="A93" s="22" t="s">
        <v>88</v>
      </c>
      <c r="B93" s="4"/>
      <c r="C93" s="4"/>
      <c r="D93" s="4"/>
      <c r="E93" s="4"/>
      <c r="F93" s="4"/>
      <c r="G93" s="4"/>
      <c r="H93" s="4"/>
      <c r="I93" s="4"/>
      <c r="J93" s="4"/>
      <c r="K93" s="4"/>
      <c r="L93" s="4"/>
      <c r="M93" s="4"/>
    </row>
    <row r="94" customFormat="false" ht="23.85" hidden="false" customHeight="true" outlineLevel="0" collapsed="false">
      <c r="A94" s="23" t="s">
        <v>194</v>
      </c>
      <c r="B94" s="48" t="s">
        <v>99</v>
      </c>
      <c r="C94" s="48"/>
      <c r="D94" s="48"/>
      <c r="E94" s="48"/>
      <c r="F94" s="48"/>
      <c r="H94" s="48" t="s">
        <v>195</v>
      </c>
      <c r="I94" s="48"/>
      <c r="J94" s="48"/>
      <c r="K94" s="48"/>
      <c r="L94" s="48"/>
      <c r="M94" s="49" t="s">
        <v>196</v>
      </c>
    </row>
    <row r="95" customFormat="false" ht="37.5" hidden="false" customHeight="true" outlineLevel="0" collapsed="false">
      <c r="A95" s="50"/>
      <c r="B95" s="33" t="str">
        <f aca="false">$A$5</f>
        <v>Student only</v>
      </c>
      <c r="C95" s="33" t="str">
        <f aca="false">$A$6</f>
        <v>Employed only (full-time or part-time)</v>
      </c>
      <c r="D95" s="33" t="str">
        <f aca="false">$A$7</f>
        <v>Both student and employed</v>
      </c>
      <c r="E95" s="33" t="str">
        <f aca="false">$A$8</f>
        <v>Neither at the moment</v>
      </c>
      <c r="F95" s="33" t="s">
        <v>197</v>
      </c>
      <c r="H95" s="33" t="str">
        <f aca="false">$A$5</f>
        <v>Student only</v>
      </c>
      <c r="I95" s="33" t="str">
        <f aca="false">$A$6</f>
        <v>Employed only (full-time or part-time)</v>
      </c>
      <c r="J95" s="33" t="str">
        <f aca="false">$A$7</f>
        <v>Both student and employed</v>
      </c>
      <c r="K95" s="33" t="str">
        <f aca="false">$A$8</f>
        <v>Neither at the moment</v>
      </c>
      <c r="L95" s="33" t="s">
        <v>197</v>
      </c>
    </row>
    <row r="96" customFormat="false" ht="15" hidden="false" customHeight="false" outlineLevel="0" collapsed="false">
      <c r="A96" s="26" t="s">
        <v>198</v>
      </c>
      <c r="B96" s="27" t="n">
        <f aca="false">COUNTIFS(Responses!$C$2:$C$1000,$A$5,Responses!$L$2:$L$1000,"&lt;&gt;")</f>
        <v>0</v>
      </c>
      <c r="C96" s="27" t="n">
        <f aca="false">COUNTIFS(Responses!$C$2:$C$1000,$A$6,Responses!$L$2:$L$1000,"&lt;&gt;")</f>
        <v>0</v>
      </c>
      <c r="D96" s="27" t="n">
        <f aca="false">COUNTIFS(Responses!$C$2:$C$1000,$A$7,Responses!$L$2:$L$1000,"&lt;&gt;")</f>
        <v>0</v>
      </c>
      <c r="E96" s="27" t="n">
        <f aca="false">COUNTIFS(Responses!$C$2:$C$1000,$A$8,Responses!$L$2:$L$1000,"&lt;&gt;")</f>
        <v>0</v>
      </c>
      <c r="F96" s="27" t="n">
        <f aca="false">COUNTA(Responses!$L$2:$L$1000)</f>
        <v>0</v>
      </c>
    </row>
    <row r="97" customFormat="false" ht="15" hidden="false" customHeight="false" outlineLevel="0" collapsed="false">
      <c r="A97" s="25" t="s">
        <v>153</v>
      </c>
      <c r="B97" s="11" t="n">
        <f aca="false">COUNTIFS(Responses!$L$2:$L$1000,$A97,Responses!$C$2:$C$1000,$A$5)</f>
        <v>0</v>
      </c>
      <c r="C97" s="11" t="n">
        <f aca="false">COUNTIFS(Responses!$L$2:$L$1000,$A97,Responses!$C$2:$C$1000,$A$6)</f>
        <v>0</v>
      </c>
      <c r="D97" s="11" t="n">
        <f aca="false">COUNTIFS(Responses!$L$2:$L$1000,$A97,Responses!$C$2:$C$1000,$A$7)</f>
        <v>0</v>
      </c>
      <c r="E97" s="11" t="n">
        <f aca="false">COUNTIFS(Responses!$L$2:$L$1000,$A97,Responses!$C$2:$C$1000,$A$8)</f>
        <v>0</v>
      </c>
      <c r="F97" s="11" t="n">
        <f aca="false">COUNTIF(Responses!$L$2:$L$1000,$A97)</f>
        <v>0</v>
      </c>
      <c r="H97" s="51" t="str">
        <f aca="false">IF(B$96=0,"",B97/B$96)</f>
        <v/>
      </c>
      <c r="I97" s="51" t="str">
        <f aca="false">IF(C$96=0,"",C97/C$96)</f>
        <v/>
      </c>
      <c r="J97" s="51" t="str">
        <f aca="false">IF(D$96=0,"",D97/D$96)</f>
        <v/>
      </c>
      <c r="K97" s="51" t="str">
        <f aca="false">IF(E$96=0,"",E97/E$96)</f>
        <v/>
      </c>
      <c r="L97" s="51" t="str">
        <f aca="false">IF(F$96=0,"",F97/F$96)</f>
        <v/>
      </c>
      <c r="M97" s="13" t="str">
        <f aca="false">IF(COUNT(H97:K97)&lt;2,"",MAX(H97:K97)-MIN(H97:K97))</f>
        <v/>
      </c>
      <c r="N97" s="52" t="s">
        <v>211</v>
      </c>
      <c r="O97" s="53" t="str">
        <f aca="false">IF(M97="","",M97+ROW()/1000000000)</f>
        <v/>
      </c>
      <c r="P97" s="52" t="str">
        <f aca="false">IF(M97="","",INDEX($A$5:$A$8,MATCH(MAX(H97:K97),H97:K97,0)))</f>
        <v/>
      </c>
      <c r="Q97" s="52" t="str">
        <f aca="false">IF(M97="","",INDEX($A$5:$A$8,MATCH(MIN(H97:K97),H97:K97,0)))</f>
        <v/>
      </c>
    </row>
    <row r="98" customFormat="false" ht="15" hidden="false" customHeight="false" outlineLevel="0" collapsed="false">
      <c r="A98" s="25" t="s">
        <v>56</v>
      </c>
      <c r="B98" s="11" t="n">
        <f aca="false">COUNTIFS(Responses!$L$2:$L$1000,$A98,Responses!$C$2:$C$1000,$A$5)</f>
        <v>0</v>
      </c>
      <c r="C98" s="11" t="n">
        <f aca="false">COUNTIFS(Responses!$L$2:$L$1000,$A98,Responses!$C$2:$C$1000,$A$6)</f>
        <v>0</v>
      </c>
      <c r="D98" s="11" t="n">
        <f aca="false">COUNTIFS(Responses!$L$2:$L$1000,$A98,Responses!$C$2:$C$1000,$A$7)</f>
        <v>0</v>
      </c>
      <c r="E98" s="11" t="n">
        <f aca="false">COUNTIFS(Responses!$L$2:$L$1000,$A98,Responses!$C$2:$C$1000,$A$8)</f>
        <v>0</v>
      </c>
      <c r="F98" s="11" t="n">
        <f aca="false">COUNTIF(Responses!$L$2:$L$1000,$A98)</f>
        <v>0</v>
      </c>
      <c r="H98" s="51" t="str">
        <f aca="false">IF(B$96=0,"",B98/B$96)</f>
        <v/>
      </c>
      <c r="I98" s="51" t="str">
        <f aca="false">IF(C$96=0,"",C98/C$96)</f>
        <v/>
      </c>
      <c r="J98" s="51" t="str">
        <f aca="false">IF(D$96=0,"",D98/D$96)</f>
        <v/>
      </c>
      <c r="K98" s="51" t="str">
        <f aca="false">IF(E$96=0,"",E98/E$96)</f>
        <v/>
      </c>
      <c r="L98" s="51" t="str">
        <f aca="false">IF(F$96=0,"",F98/F$96)</f>
        <v/>
      </c>
      <c r="M98" s="13" t="str">
        <f aca="false">IF(COUNT(H98:K98)&lt;2,"",MAX(H98:K98)-MIN(H98:K98))</f>
        <v/>
      </c>
      <c r="N98" s="52" t="s">
        <v>211</v>
      </c>
      <c r="O98" s="53" t="str">
        <f aca="false">IF(M98="","",M98+ROW()/1000000000)</f>
        <v/>
      </c>
      <c r="P98" s="52" t="str">
        <f aca="false">IF(M98="","",INDEX($A$5:$A$8,MATCH(MAX(H98:K98),H98:K98,0)))</f>
        <v/>
      </c>
      <c r="Q98" s="52" t="str">
        <f aca="false">IF(M98="","",INDEX($A$5:$A$8,MATCH(MIN(H98:K98),H98:K98,0)))</f>
        <v/>
      </c>
    </row>
    <row r="99" customFormat="false" ht="15" hidden="false" customHeight="false" outlineLevel="0" collapsed="false">
      <c r="A99" s="25" t="s">
        <v>154</v>
      </c>
      <c r="B99" s="11" t="n">
        <f aca="false">COUNTIFS(Responses!$L$2:$L$1000,$A99,Responses!$C$2:$C$1000,$A$5)</f>
        <v>0</v>
      </c>
      <c r="C99" s="11" t="n">
        <f aca="false">COUNTIFS(Responses!$L$2:$L$1000,$A99,Responses!$C$2:$C$1000,$A$6)</f>
        <v>0</v>
      </c>
      <c r="D99" s="11" t="n">
        <f aca="false">COUNTIFS(Responses!$L$2:$L$1000,$A99,Responses!$C$2:$C$1000,$A$7)</f>
        <v>0</v>
      </c>
      <c r="E99" s="11" t="n">
        <f aca="false">COUNTIFS(Responses!$L$2:$L$1000,$A99,Responses!$C$2:$C$1000,$A$8)</f>
        <v>0</v>
      </c>
      <c r="F99" s="11" t="n">
        <f aca="false">COUNTIF(Responses!$L$2:$L$1000,$A99)</f>
        <v>0</v>
      </c>
      <c r="H99" s="51" t="str">
        <f aca="false">IF(B$96=0,"",B99/B$96)</f>
        <v/>
      </c>
      <c r="I99" s="51" t="str">
        <f aca="false">IF(C$96=0,"",C99/C$96)</f>
        <v/>
      </c>
      <c r="J99" s="51" t="str">
        <f aca="false">IF(D$96=0,"",D99/D$96)</f>
        <v/>
      </c>
      <c r="K99" s="51" t="str">
        <f aca="false">IF(E$96=0,"",E99/E$96)</f>
        <v/>
      </c>
      <c r="L99" s="51" t="str">
        <f aca="false">IF(F$96=0,"",F99/F$96)</f>
        <v/>
      </c>
      <c r="M99" s="13" t="str">
        <f aca="false">IF(COUNT(H99:K99)&lt;2,"",MAX(H99:K99)-MIN(H99:K99))</f>
        <v/>
      </c>
      <c r="N99" s="52" t="s">
        <v>211</v>
      </c>
      <c r="O99" s="53" t="str">
        <f aca="false">IF(M99="","",M99+ROW()/1000000000)</f>
        <v/>
      </c>
      <c r="P99" s="52" t="str">
        <f aca="false">IF(M99="","",INDEX($A$5:$A$8,MATCH(MAX(H99:K99),H99:K99,0)))</f>
        <v/>
      </c>
      <c r="Q99" s="52" t="str">
        <f aca="false">IF(M99="","",INDEX($A$5:$A$8,MATCH(MIN(H99:K99),H99:K99,0)))</f>
        <v/>
      </c>
    </row>
    <row r="100" customFormat="false" ht="15" hidden="false" customHeight="false" outlineLevel="0" collapsed="false">
      <c r="A100" s="25" t="s">
        <v>155</v>
      </c>
      <c r="B100" s="11" t="n">
        <f aca="false">COUNTIFS(Responses!$L$2:$L$1000,$A100,Responses!$C$2:$C$1000,$A$5)</f>
        <v>0</v>
      </c>
      <c r="C100" s="11" t="n">
        <f aca="false">COUNTIFS(Responses!$L$2:$L$1000,$A100,Responses!$C$2:$C$1000,$A$6)</f>
        <v>0</v>
      </c>
      <c r="D100" s="11" t="n">
        <f aca="false">COUNTIFS(Responses!$L$2:$L$1000,$A100,Responses!$C$2:$C$1000,$A$7)</f>
        <v>0</v>
      </c>
      <c r="E100" s="11" t="n">
        <f aca="false">COUNTIFS(Responses!$L$2:$L$1000,$A100,Responses!$C$2:$C$1000,$A$8)</f>
        <v>0</v>
      </c>
      <c r="F100" s="11" t="n">
        <f aca="false">COUNTIF(Responses!$L$2:$L$1000,$A100)</f>
        <v>0</v>
      </c>
      <c r="H100" s="51" t="str">
        <f aca="false">IF(B$96=0,"",B100/B$96)</f>
        <v/>
      </c>
      <c r="I100" s="51" t="str">
        <f aca="false">IF(C$96=0,"",C100/C$96)</f>
        <v/>
      </c>
      <c r="J100" s="51" t="str">
        <f aca="false">IF(D$96=0,"",D100/D$96)</f>
        <v/>
      </c>
      <c r="K100" s="51" t="str">
        <f aca="false">IF(E$96=0,"",E100/E$96)</f>
        <v/>
      </c>
      <c r="L100" s="51" t="str">
        <f aca="false">IF(F$96=0,"",F100/F$96)</f>
        <v/>
      </c>
      <c r="M100" s="13" t="str">
        <f aca="false">IF(COUNT(H100:K100)&lt;2,"",MAX(H100:K100)-MIN(H100:K100))</f>
        <v/>
      </c>
      <c r="N100" s="52" t="s">
        <v>211</v>
      </c>
      <c r="O100" s="53" t="str">
        <f aca="false">IF(M100="","",M100+ROW()/1000000000)</f>
        <v/>
      </c>
      <c r="P100" s="52" t="str">
        <f aca="false">IF(M100="","",INDEX($A$5:$A$8,MATCH(MAX(H100:K100),H100:K100,0)))</f>
        <v/>
      </c>
      <c r="Q100" s="52" t="str">
        <f aca="false">IF(M100="","",INDEX($A$5:$A$8,MATCH(MIN(H100:K100),H100:K100,0)))</f>
        <v/>
      </c>
    </row>
    <row r="101" customFormat="false" ht="15" hidden="false" customHeight="false" outlineLevel="0" collapsed="false">
      <c r="A101" s="25" t="s">
        <v>156</v>
      </c>
      <c r="B101" s="11" t="n">
        <f aca="false">COUNTIFS(Responses!$L$2:$L$1000,$A101,Responses!$C$2:$C$1000,$A$5)</f>
        <v>0</v>
      </c>
      <c r="C101" s="11" t="n">
        <f aca="false">COUNTIFS(Responses!$L$2:$L$1000,$A101,Responses!$C$2:$C$1000,$A$6)</f>
        <v>0</v>
      </c>
      <c r="D101" s="11" t="n">
        <f aca="false">COUNTIFS(Responses!$L$2:$L$1000,$A101,Responses!$C$2:$C$1000,$A$7)</f>
        <v>0</v>
      </c>
      <c r="E101" s="11" t="n">
        <f aca="false">COUNTIFS(Responses!$L$2:$L$1000,$A101,Responses!$C$2:$C$1000,$A$8)</f>
        <v>0</v>
      </c>
      <c r="F101" s="11" t="n">
        <f aca="false">COUNTIF(Responses!$L$2:$L$1000,$A101)</f>
        <v>0</v>
      </c>
      <c r="H101" s="51" t="str">
        <f aca="false">IF(B$96=0,"",B101/B$96)</f>
        <v/>
      </c>
      <c r="I101" s="51" t="str">
        <f aca="false">IF(C$96=0,"",C101/C$96)</f>
        <v/>
      </c>
      <c r="J101" s="51" t="str">
        <f aca="false">IF(D$96=0,"",D101/D$96)</f>
        <v/>
      </c>
      <c r="K101" s="51" t="str">
        <f aca="false">IF(E$96=0,"",E101/E$96)</f>
        <v/>
      </c>
      <c r="L101" s="51" t="str">
        <f aca="false">IF(F$96=0,"",F101/F$96)</f>
        <v/>
      </c>
      <c r="M101" s="13" t="str">
        <f aca="false">IF(COUNT(H101:K101)&lt;2,"",MAX(H101:K101)-MIN(H101:K101))</f>
        <v/>
      </c>
      <c r="N101" s="52" t="s">
        <v>211</v>
      </c>
      <c r="O101" s="53" t="str">
        <f aca="false">IF(M101="","",M101+ROW()/1000000000)</f>
        <v/>
      </c>
      <c r="P101" s="52" t="str">
        <f aca="false">IF(M101="","",INDEX($A$5:$A$8,MATCH(MAX(H101:K101),H101:K101,0)))</f>
        <v/>
      </c>
      <c r="Q101" s="52" t="str">
        <f aca="false">IF(M101="","",INDEX($A$5:$A$8,MATCH(MIN(H101:K101),H101:K101,0)))</f>
        <v/>
      </c>
    </row>
    <row r="104" customFormat="false" ht="31.5" hidden="false" customHeight="true" outlineLevel="0" collapsed="false">
      <c r="A104" s="22" t="s">
        <v>89</v>
      </c>
      <c r="B104" s="4"/>
      <c r="C104" s="4"/>
      <c r="D104" s="4"/>
      <c r="E104" s="4"/>
      <c r="F104" s="4"/>
      <c r="G104" s="4"/>
      <c r="H104" s="4"/>
      <c r="I104" s="4"/>
      <c r="J104" s="4"/>
      <c r="K104" s="4"/>
      <c r="L104" s="4"/>
      <c r="M104" s="4"/>
    </row>
    <row r="105" customFormat="false" ht="23.85" hidden="false" customHeight="true" outlineLevel="0" collapsed="false">
      <c r="A105" s="23" t="s">
        <v>194</v>
      </c>
      <c r="B105" s="48" t="s">
        <v>99</v>
      </c>
      <c r="C105" s="48"/>
      <c r="D105" s="48"/>
      <c r="E105" s="48"/>
      <c r="F105" s="48"/>
      <c r="H105" s="48" t="s">
        <v>195</v>
      </c>
      <c r="I105" s="48"/>
      <c r="J105" s="48"/>
      <c r="K105" s="48"/>
      <c r="L105" s="48"/>
      <c r="M105" s="49" t="s">
        <v>196</v>
      </c>
    </row>
    <row r="106" customFormat="false" ht="37.5" hidden="false" customHeight="true" outlineLevel="0" collapsed="false">
      <c r="A106" s="50"/>
      <c r="B106" s="33" t="str">
        <f aca="false">$A$5</f>
        <v>Student only</v>
      </c>
      <c r="C106" s="33" t="str">
        <f aca="false">$A$6</f>
        <v>Employed only (full-time or part-time)</v>
      </c>
      <c r="D106" s="33" t="str">
        <f aca="false">$A$7</f>
        <v>Both student and employed</v>
      </c>
      <c r="E106" s="33" t="str">
        <f aca="false">$A$8</f>
        <v>Neither at the moment</v>
      </c>
      <c r="F106" s="33" t="s">
        <v>197</v>
      </c>
      <c r="H106" s="33" t="str">
        <f aca="false">$A$5</f>
        <v>Student only</v>
      </c>
      <c r="I106" s="33" t="str">
        <f aca="false">$A$6</f>
        <v>Employed only (full-time or part-time)</v>
      </c>
      <c r="J106" s="33" t="str">
        <f aca="false">$A$7</f>
        <v>Both student and employed</v>
      </c>
      <c r="K106" s="33" t="str">
        <f aca="false">$A$8</f>
        <v>Neither at the moment</v>
      </c>
      <c r="L106" s="33" t="s">
        <v>197</v>
      </c>
    </row>
    <row r="107" customFormat="false" ht="15" hidden="false" customHeight="false" outlineLevel="0" collapsed="false">
      <c r="A107" s="26" t="s">
        <v>198</v>
      </c>
      <c r="B107" s="27" t="n">
        <f aca="false">COUNTIFS(Responses!$C$2:$C$1000,$A$5,Responses!$M$2:$M$1000,"&lt;&gt;")</f>
        <v>0</v>
      </c>
      <c r="C107" s="27" t="n">
        <f aca="false">COUNTIFS(Responses!$C$2:$C$1000,$A$6,Responses!$M$2:$M$1000,"&lt;&gt;")</f>
        <v>0</v>
      </c>
      <c r="D107" s="27" t="n">
        <f aca="false">COUNTIFS(Responses!$C$2:$C$1000,$A$7,Responses!$M$2:$M$1000,"&lt;&gt;")</f>
        <v>0</v>
      </c>
      <c r="E107" s="27" t="n">
        <f aca="false">COUNTIFS(Responses!$C$2:$C$1000,$A$8,Responses!$M$2:$M$1000,"&lt;&gt;")</f>
        <v>0</v>
      </c>
      <c r="F107" s="27" t="n">
        <f aca="false">COUNTA(Responses!$M$2:$M$1000)</f>
        <v>0</v>
      </c>
    </row>
    <row r="108" customFormat="false" ht="15" hidden="false" customHeight="false" outlineLevel="0" collapsed="false">
      <c r="A108" s="25" t="s">
        <v>158</v>
      </c>
      <c r="B108" s="11" t="n">
        <f aca="false">COUNTIFS(Responses!$M$2:$M$1000,"*"&amp;$A108&amp;"*",Responses!$C$2:$C$1000,$A$5)</f>
        <v>0</v>
      </c>
      <c r="C108" s="11" t="n">
        <f aca="false">COUNTIFS(Responses!$M$2:$M$1000,"*"&amp;$A108&amp;"*",Responses!$C$2:$C$1000,$A$6)</f>
        <v>0</v>
      </c>
      <c r="D108" s="11" t="n">
        <f aca="false">COUNTIFS(Responses!$M$2:$M$1000,"*"&amp;$A108&amp;"*",Responses!$C$2:$C$1000,$A$7)</f>
        <v>0</v>
      </c>
      <c r="E108" s="11" t="n">
        <f aca="false">COUNTIFS(Responses!$M$2:$M$1000,"*"&amp;$A108&amp;"*",Responses!$C$2:$C$1000,$A$8)</f>
        <v>0</v>
      </c>
      <c r="F108" s="11" t="n">
        <f aca="false">COUNTIF(Responses!$M$2:$M$1000,"*"&amp;$A108&amp;"*")</f>
        <v>0</v>
      </c>
      <c r="H108" s="51" t="str">
        <f aca="false">IF(B$107=0,"",B108/B$107)</f>
        <v/>
      </c>
      <c r="I108" s="51" t="str">
        <f aca="false">IF(C$107=0,"",C108/C$107)</f>
        <v/>
      </c>
      <c r="J108" s="51" t="str">
        <f aca="false">IF(D$107=0,"",D108/D$107)</f>
        <v/>
      </c>
      <c r="K108" s="51" t="str">
        <f aca="false">IF(E$107=0,"",E108/E$107)</f>
        <v/>
      </c>
      <c r="L108" s="51" t="str">
        <f aca="false">IF(F$107=0,"",F108/F$107)</f>
        <v/>
      </c>
      <c r="M108" s="13" t="str">
        <f aca="false">IF(COUNT(H108:K108)&lt;2,"",MAX(H108:K108)-MIN(H108:K108))</f>
        <v/>
      </c>
      <c r="N108" s="52" t="s">
        <v>212</v>
      </c>
      <c r="O108" s="53" t="str">
        <f aca="false">IF(M108="","",M108+ROW()/1000000000)</f>
        <v/>
      </c>
      <c r="P108" s="52" t="str">
        <f aca="false">IF(M108="","",INDEX($A$5:$A$8,MATCH(MAX(H108:K108),H108:K108,0)))</f>
        <v/>
      </c>
      <c r="Q108" s="52" t="str">
        <f aca="false">IF(M108="","",INDEX($A$5:$A$8,MATCH(MIN(H108:K108),H108:K108,0)))</f>
        <v/>
      </c>
    </row>
    <row r="109" customFormat="false" ht="15" hidden="false" customHeight="false" outlineLevel="0" collapsed="false">
      <c r="A109" s="25" t="s">
        <v>159</v>
      </c>
      <c r="B109" s="11" t="n">
        <f aca="false">COUNTIFS(Responses!$M$2:$M$1000,"*"&amp;$A109&amp;"*",Responses!$C$2:$C$1000,$A$5)</f>
        <v>0</v>
      </c>
      <c r="C109" s="11" t="n">
        <f aca="false">COUNTIFS(Responses!$M$2:$M$1000,"*"&amp;$A109&amp;"*",Responses!$C$2:$C$1000,$A$6)</f>
        <v>0</v>
      </c>
      <c r="D109" s="11" t="n">
        <f aca="false">COUNTIFS(Responses!$M$2:$M$1000,"*"&amp;$A109&amp;"*",Responses!$C$2:$C$1000,$A$7)</f>
        <v>0</v>
      </c>
      <c r="E109" s="11" t="n">
        <f aca="false">COUNTIFS(Responses!$M$2:$M$1000,"*"&amp;$A109&amp;"*",Responses!$C$2:$C$1000,$A$8)</f>
        <v>0</v>
      </c>
      <c r="F109" s="11" t="n">
        <f aca="false">COUNTIF(Responses!$M$2:$M$1000,"*"&amp;$A109&amp;"*")</f>
        <v>0</v>
      </c>
      <c r="H109" s="51" t="str">
        <f aca="false">IF(B$107=0,"",B109/B$107)</f>
        <v/>
      </c>
      <c r="I109" s="51" t="str">
        <f aca="false">IF(C$107=0,"",C109/C$107)</f>
        <v/>
      </c>
      <c r="J109" s="51" t="str">
        <f aca="false">IF(D$107=0,"",D109/D$107)</f>
        <v/>
      </c>
      <c r="K109" s="51" t="str">
        <f aca="false">IF(E$107=0,"",E109/E$107)</f>
        <v/>
      </c>
      <c r="L109" s="51" t="str">
        <f aca="false">IF(F$107=0,"",F109/F$107)</f>
        <v/>
      </c>
      <c r="M109" s="13" t="str">
        <f aca="false">IF(COUNT(H109:K109)&lt;2,"",MAX(H109:K109)-MIN(H109:K109))</f>
        <v/>
      </c>
      <c r="N109" s="52" t="s">
        <v>212</v>
      </c>
      <c r="O109" s="53" t="str">
        <f aca="false">IF(M109="","",M109+ROW()/1000000000)</f>
        <v/>
      </c>
      <c r="P109" s="52" t="str">
        <f aca="false">IF(M109="","",INDEX($A$5:$A$8,MATCH(MAX(H109:K109),H109:K109,0)))</f>
        <v/>
      </c>
      <c r="Q109" s="52" t="str">
        <f aca="false">IF(M109="","",INDEX($A$5:$A$8,MATCH(MIN(H109:K109),H109:K109,0)))</f>
        <v/>
      </c>
    </row>
    <row r="110" customFormat="false" ht="15" hidden="false" customHeight="false" outlineLevel="0" collapsed="false">
      <c r="A110" s="25" t="s">
        <v>160</v>
      </c>
      <c r="B110" s="11" t="n">
        <f aca="false">COUNTIFS(Responses!$M$2:$M$1000,"*"&amp;$A110&amp;"*",Responses!$C$2:$C$1000,$A$5)</f>
        <v>0</v>
      </c>
      <c r="C110" s="11" t="n">
        <f aca="false">COUNTIFS(Responses!$M$2:$M$1000,"*"&amp;$A110&amp;"*",Responses!$C$2:$C$1000,$A$6)</f>
        <v>0</v>
      </c>
      <c r="D110" s="11" t="n">
        <f aca="false">COUNTIFS(Responses!$M$2:$M$1000,"*"&amp;$A110&amp;"*",Responses!$C$2:$C$1000,$A$7)</f>
        <v>0</v>
      </c>
      <c r="E110" s="11" t="n">
        <f aca="false">COUNTIFS(Responses!$M$2:$M$1000,"*"&amp;$A110&amp;"*",Responses!$C$2:$C$1000,$A$8)</f>
        <v>0</v>
      </c>
      <c r="F110" s="11" t="n">
        <f aca="false">COUNTIF(Responses!$M$2:$M$1000,"*"&amp;$A110&amp;"*")</f>
        <v>0</v>
      </c>
      <c r="H110" s="51" t="str">
        <f aca="false">IF(B$107=0,"",B110/B$107)</f>
        <v/>
      </c>
      <c r="I110" s="51" t="str">
        <f aca="false">IF(C$107=0,"",C110/C$107)</f>
        <v/>
      </c>
      <c r="J110" s="51" t="str">
        <f aca="false">IF(D$107=0,"",D110/D$107)</f>
        <v/>
      </c>
      <c r="K110" s="51" t="str">
        <f aca="false">IF(E$107=0,"",E110/E$107)</f>
        <v/>
      </c>
      <c r="L110" s="51" t="str">
        <f aca="false">IF(F$107=0,"",F110/F$107)</f>
        <v/>
      </c>
      <c r="M110" s="13" t="str">
        <f aca="false">IF(COUNT(H110:K110)&lt;2,"",MAX(H110:K110)-MIN(H110:K110))</f>
        <v/>
      </c>
      <c r="N110" s="52" t="s">
        <v>212</v>
      </c>
      <c r="O110" s="53" t="str">
        <f aca="false">IF(M110="","",M110+ROW()/1000000000)</f>
        <v/>
      </c>
      <c r="P110" s="52" t="str">
        <f aca="false">IF(M110="","",INDEX($A$5:$A$8,MATCH(MAX(H110:K110),H110:K110,0)))</f>
        <v/>
      </c>
      <c r="Q110" s="52" t="str">
        <f aca="false">IF(M110="","",INDEX($A$5:$A$8,MATCH(MIN(H110:K110),H110:K110,0)))</f>
        <v/>
      </c>
    </row>
    <row r="111" customFormat="false" ht="15" hidden="false" customHeight="false" outlineLevel="0" collapsed="false">
      <c r="A111" s="25" t="s">
        <v>161</v>
      </c>
      <c r="B111" s="11" t="n">
        <f aca="false">COUNTIFS(Responses!$M$2:$M$1000,"*"&amp;$A111&amp;"*",Responses!$C$2:$C$1000,$A$5)</f>
        <v>0</v>
      </c>
      <c r="C111" s="11" t="n">
        <f aca="false">COUNTIFS(Responses!$M$2:$M$1000,"*"&amp;$A111&amp;"*",Responses!$C$2:$C$1000,$A$6)</f>
        <v>0</v>
      </c>
      <c r="D111" s="11" t="n">
        <f aca="false">COUNTIFS(Responses!$M$2:$M$1000,"*"&amp;$A111&amp;"*",Responses!$C$2:$C$1000,$A$7)</f>
        <v>0</v>
      </c>
      <c r="E111" s="11" t="n">
        <f aca="false">COUNTIFS(Responses!$M$2:$M$1000,"*"&amp;$A111&amp;"*",Responses!$C$2:$C$1000,$A$8)</f>
        <v>0</v>
      </c>
      <c r="F111" s="11" t="n">
        <f aca="false">COUNTIF(Responses!$M$2:$M$1000,"*"&amp;$A111&amp;"*")</f>
        <v>0</v>
      </c>
      <c r="H111" s="51" t="str">
        <f aca="false">IF(B$107=0,"",B111/B$107)</f>
        <v/>
      </c>
      <c r="I111" s="51" t="str">
        <f aca="false">IF(C$107=0,"",C111/C$107)</f>
        <v/>
      </c>
      <c r="J111" s="51" t="str">
        <f aca="false">IF(D$107=0,"",D111/D$107)</f>
        <v/>
      </c>
      <c r="K111" s="51" t="str">
        <f aca="false">IF(E$107=0,"",E111/E$107)</f>
        <v/>
      </c>
      <c r="L111" s="51" t="str">
        <f aca="false">IF(F$107=0,"",F111/F$107)</f>
        <v/>
      </c>
      <c r="M111" s="13" t="str">
        <f aca="false">IF(COUNT(H111:K111)&lt;2,"",MAX(H111:K111)-MIN(H111:K111))</f>
        <v/>
      </c>
      <c r="N111" s="52" t="s">
        <v>212</v>
      </c>
      <c r="O111" s="53" t="str">
        <f aca="false">IF(M111="","",M111+ROW()/1000000000)</f>
        <v/>
      </c>
      <c r="P111" s="52" t="str">
        <f aca="false">IF(M111="","",INDEX($A$5:$A$8,MATCH(MAX(H111:K111),H111:K111,0)))</f>
        <v/>
      </c>
      <c r="Q111" s="52" t="str">
        <f aca="false">IF(M111="","",INDEX($A$5:$A$8,MATCH(MIN(H111:K111),H111:K111,0)))</f>
        <v/>
      </c>
    </row>
    <row r="112" customFormat="false" ht="15" hidden="false" customHeight="false" outlineLevel="0" collapsed="false">
      <c r="A112" s="25" t="s">
        <v>162</v>
      </c>
      <c r="B112" s="11" t="n">
        <f aca="false">COUNTIFS(Responses!$M$2:$M$1000,"*"&amp;$A112&amp;"*",Responses!$C$2:$C$1000,$A$5)</f>
        <v>0</v>
      </c>
      <c r="C112" s="11" t="n">
        <f aca="false">COUNTIFS(Responses!$M$2:$M$1000,"*"&amp;$A112&amp;"*",Responses!$C$2:$C$1000,$A$6)</f>
        <v>0</v>
      </c>
      <c r="D112" s="11" t="n">
        <f aca="false">COUNTIFS(Responses!$M$2:$M$1000,"*"&amp;$A112&amp;"*",Responses!$C$2:$C$1000,$A$7)</f>
        <v>0</v>
      </c>
      <c r="E112" s="11" t="n">
        <f aca="false">COUNTIFS(Responses!$M$2:$M$1000,"*"&amp;$A112&amp;"*",Responses!$C$2:$C$1000,$A$8)</f>
        <v>0</v>
      </c>
      <c r="F112" s="11" t="n">
        <f aca="false">COUNTIF(Responses!$M$2:$M$1000,"*"&amp;$A112&amp;"*")</f>
        <v>0</v>
      </c>
      <c r="H112" s="51" t="str">
        <f aca="false">IF(B$107=0,"",B112/B$107)</f>
        <v/>
      </c>
      <c r="I112" s="51" t="str">
        <f aca="false">IF(C$107=0,"",C112/C$107)</f>
        <v/>
      </c>
      <c r="J112" s="51" t="str">
        <f aca="false">IF(D$107=0,"",D112/D$107)</f>
        <v/>
      </c>
      <c r="K112" s="51" t="str">
        <f aca="false">IF(E$107=0,"",E112/E$107)</f>
        <v/>
      </c>
      <c r="L112" s="51" t="str">
        <f aca="false">IF(F$107=0,"",F112/F$107)</f>
        <v/>
      </c>
      <c r="M112" s="13" t="str">
        <f aca="false">IF(COUNT(H112:K112)&lt;2,"",MAX(H112:K112)-MIN(H112:K112))</f>
        <v/>
      </c>
      <c r="N112" s="52" t="s">
        <v>212</v>
      </c>
      <c r="O112" s="53" t="str">
        <f aca="false">IF(M112="","",M112+ROW()/1000000000)</f>
        <v/>
      </c>
      <c r="P112" s="52" t="str">
        <f aca="false">IF(M112="","",INDEX($A$5:$A$8,MATCH(MAX(H112:K112),H112:K112,0)))</f>
        <v/>
      </c>
      <c r="Q112" s="52" t="str">
        <f aca="false">IF(M112="","",INDEX($A$5:$A$8,MATCH(MIN(H112:K112),H112:K112,0)))</f>
        <v/>
      </c>
    </row>
    <row r="113" customFormat="false" ht="15" hidden="false" customHeight="false" outlineLevel="0" collapsed="false">
      <c r="A113" s="25" t="s">
        <v>163</v>
      </c>
      <c r="B113" s="11" t="n">
        <f aca="false">COUNTIFS(Responses!$M$2:$M$1000,"*"&amp;$A113&amp;"*",Responses!$C$2:$C$1000,$A$5)</f>
        <v>0</v>
      </c>
      <c r="C113" s="11" t="n">
        <f aca="false">COUNTIFS(Responses!$M$2:$M$1000,"*"&amp;$A113&amp;"*",Responses!$C$2:$C$1000,$A$6)</f>
        <v>0</v>
      </c>
      <c r="D113" s="11" t="n">
        <f aca="false">COUNTIFS(Responses!$M$2:$M$1000,"*"&amp;$A113&amp;"*",Responses!$C$2:$C$1000,$A$7)</f>
        <v>0</v>
      </c>
      <c r="E113" s="11" t="n">
        <f aca="false">COUNTIFS(Responses!$M$2:$M$1000,"*"&amp;$A113&amp;"*",Responses!$C$2:$C$1000,$A$8)</f>
        <v>0</v>
      </c>
      <c r="F113" s="11" t="n">
        <f aca="false">COUNTIF(Responses!$M$2:$M$1000,"*"&amp;$A113&amp;"*")</f>
        <v>0</v>
      </c>
      <c r="H113" s="51" t="str">
        <f aca="false">IF(B$107=0,"",B113/B$107)</f>
        <v/>
      </c>
      <c r="I113" s="51" t="str">
        <f aca="false">IF(C$107=0,"",C113/C$107)</f>
        <v/>
      </c>
      <c r="J113" s="51" t="str">
        <f aca="false">IF(D$107=0,"",D113/D$107)</f>
        <v/>
      </c>
      <c r="K113" s="51" t="str">
        <f aca="false">IF(E$107=0,"",E113/E$107)</f>
        <v/>
      </c>
      <c r="L113" s="51" t="str">
        <f aca="false">IF(F$107=0,"",F113/F$107)</f>
        <v/>
      </c>
      <c r="M113" s="13" t="str">
        <f aca="false">IF(COUNT(H113:K113)&lt;2,"",MAX(H113:K113)-MIN(H113:K113))</f>
        <v/>
      </c>
      <c r="N113" s="52" t="s">
        <v>212</v>
      </c>
      <c r="O113" s="53" t="str">
        <f aca="false">IF(M113="","",M113+ROW()/1000000000)</f>
        <v/>
      </c>
      <c r="P113" s="52" t="str">
        <f aca="false">IF(M113="","",INDEX($A$5:$A$8,MATCH(MAX(H113:K113),H113:K113,0)))</f>
        <v/>
      </c>
      <c r="Q113" s="52" t="str">
        <f aca="false">IF(M113="","",INDEX($A$5:$A$8,MATCH(MIN(H113:K113),H113:K113,0)))</f>
        <v/>
      </c>
    </row>
    <row r="114" customFormat="false" ht="15" hidden="false" customHeight="false" outlineLevel="0" collapsed="false">
      <c r="A114" s="25" t="s">
        <v>164</v>
      </c>
      <c r="B114" s="11" t="n">
        <f aca="false">COUNTIFS(Responses!$M$2:$M$1000,"*"&amp;$A114&amp;"*",Responses!$C$2:$C$1000,$A$5)</f>
        <v>0</v>
      </c>
      <c r="C114" s="11" t="n">
        <f aca="false">COUNTIFS(Responses!$M$2:$M$1000,"*"&amp;$A114&amp;"*",Responses!$C$2:$C$1000,$A$6)</f>
        <v>0</v>
      </c>
      <c r="D114" s="11" t="n">
        <f aca="false">COUNTIFS(Responses!$M$2:$M$1000,"*"&amp;$A114&amp;"*",Responses!$C$2:$C$1000,$A$7)</f>
        <v>0</v>
      </c>
      <c r="E114" s="11" t="n">
        <f aca="false">COUNTIFS(Responses!$M$2:$M$1000,"*"&amp;$A114&amp;"*",Responses!$C$2:$C$1000,$A$8)</f>
        <v>0</v>
      </c>
      <c r="F114" s="11" t="n">
        <f aca="false">COUNTIF(Responses!$M$2:$M$1000,"*"&amp;$A114&amp;"*")</f>
        <v>0</v>
      </c>
      <c r="H114" s="51" t="str">
        <f aca="false">IF(B$107=0,"",B114/B$107)</f>
        <v/>
      </c>
      <c r="I114" s="51" t="str">
        <f aca="false">IF(C$107=0,"",C114/C$107)</f>
        <v/>
      </c>
      <c r="J114" s="51" t="str">
        <f aca="false">IF(D$107=0,"",D114/D$107)</f>
        <v/>
      </c>
      <c r="K114" s="51" t="str">
        <f aca="false">IF(E$107=0,"",E114/E$107)</f>
        <v/>
      </c>
      <c r="L114" s="51" t="str">
        <f aca="false">IF(F$107=0,"",F114/F$107)</f>
        <v/>
      </c>
      <c r="M114" s="13" t="str">
        <f aca="false">IF(COUNT(H114:K114)&lt;2,"",MAX(H114:K114)-MIN(H114:K114))</f>
        <v/>
      </c>
      <c r="N114" s="52" t="s">
        <v>212</v>
      </c>
      <c r="O114" s="53" t="str">
        <f aca="false">IF(M114="","",M114+ROW()/1000000000)</f>
        <v/>
      </c>
      <c r="P114" s="52" t="str">
        <f aca="false">IF(M114="","",INDEX($A$5:$A$8,MATCH(MAX(H114:K114),H114:K114,0)))</f>
        <v/>
      </c>
      <c r="Q114" s="52" t="str">
        <f aca="false">IF(M114="","",INDEX($A$5:$A$8,MATCH(MIN(H114:K114),H114:K114,0)))</f>
        <v/>
      </c>
    </row>
    <row r="117" customFormat="false" ht="31.5" hidden="false" customHeight="true" outlineLevel="0" collapsed="false">
      <c r="A117" s="22" t="s">
        <v>90</v>
      </c>
      <c r="B117" s="4"/>
      <c r="C117" s="4"/>
      <c r="D117" s="4"/>
      <c r="E117" s="4"/>
      <c r="F117" s="4"/>
      <c r="G117" s="4"/>
      <c r="H117" s="4"/>
      <c r="I117" s="4"/>
      <c r="J117" s="4"/>
      <c r="K117" s="4"/>
      <c r="L117" s="4"/>
      <c r="M117" s="4"/>
    </row>
    <row r="118" customFormat="false" ht="23.85" hidden="false" customHeight="true" outlineLevel="0" collapsed="false">
      <c r="A118" s="23" t="s">
        <v>194</v>
      </c>
      <c r="B118" s="48" t="s">
        <v>99</v>
      </c>
      <c r="C118" s="48"/>
      <c r="D118" s="48"/>
      <c r="E118" s="48"/>
      <c r="F118" s="48"/>
      <c r="H118" s="48" t="s">
        <v>195</v>
      </c>
      <c r="I118" s="48"/>
      <c r="J118" s="48"/>
      <c r="K118" s="48"/>
      <c r="L118" s="48"/>
      <c r="M118" s="49" t="s">
        <v>196</v>
      </c>
    </row>
    <row r="119" customFormat="false" ht="37.5" hidden="false" customHeight="true" outlineLevel="0" collapsed="false">
      <c r="A119" s="50"/>
      <c r="B119" s="33" t="str">
        <f aca="false">$A$5</f>
        <v>Student only</v>
      </c>
      <c r="C119" s="33" t="str">
        <f aca="false">$A$6</f>
        <v>Employed only (full-time or part-time)</v>
      </c>
      <c r="D119" s="33" t="str">
        <f aca="false">$A$7</f>
        <v>Both student and employed</v>
      </c>
      <c r="E119" s="33" t="str">
        <f aca="false">$A$8</f>
        <v>Neither at the moment</v>
      </c>
      <c r="F119" s="33" t="s">
        <v>197</v>
      </c>
      <c r="H119" s="33" t="str">
        <f aca="false">$A$5</f>
        <v>Student only</v>
      </c>
      <c r="I119" s="33" t="str">
        <f aca="false">$A$6</f>
        <v>Employed only (full-time or part-time)</v>
      </c>
      <c r="J119" s="33" t="str">
        <f aca="false">$A$7</f>
        <v>Both student and employed</v>
      </c>
      <c r="K119" s="33" t="str">
        <f aca="false">$A$8</f>
        <v>Neither at the moment</v>
      </c>
      <c r="L119" s="33" t="s">
        <v>197</v>
      </c>
    </row>
    <row r="120" customFormat="false" ht="15" hidden="false" customHeight="false" outlineLevel="0" collapsed="false">
      <c r="A120" s="26" t="s">
        <v>198</v>
      </c>
      <c r="B120" s="27" t="n">
        <f aca="false">COUNTIFS(Responses!$C$2:$C$1000,$A$5,Responses!$N$2:$N$1000,"&lt;&gt;")</f>
        <v>0</v>
      </c>
      <c r="C120" s="27" t="n">
        <f aca="false">COUNTIFS(Responses!$C$2:$C$1000,$A$6,Responses!$N$2:$N$1000,"&lt;&gt;")</f>
        <v>0</v>
      </c>
      <c r="D120" s="27" t="n">
        <f aca="false">COUNTIFS(Responses!$C$2:$C$1000,$A$7,Responses!$N$2:$N$1000,"&lt;&gt;")</f>
        <v>0</v>
      </c>
      <c r="E120" s="27" t="n">
        <f aca="false">COUNTIFS(Responses!$C$2:$C$1000,$A$8,Responses!$N$2:$N$1000,"&lt;&gt;")</f>
        <v>0</v>
      </c>
      <c r="F120" s="27" t="n">
        <f aca="false">COUNTA(Responses!$N$2:$N$1000)</f>
        <v>0</v>
      </c>
    </row>
    <row r="121" customFormat="false" ht="15" hidden="false" customHeight="false" outlineLevel="0" collapsed="false">
      <c r="A121" s="25" t="s">
        <v>207</v>
      </c>
      <c r="B121" s="11" t="n">
        <f aca="false">COUNTIFS(Responses!$N$2:$N$1000,"&gt;=4",Responses!$C$2:$C$1000,$A$5)</f>
        <v>0</v>
      </c>
      <c r="C121" s="11" t="n">
        <f aca="false">COUNTIFS(Responses!$N$2:$N$1000,"&gt;=4",Responses!$C$2:$C$1000,$A$6)</f>
        <v>0</v>
      </c>
      <c r="D121" s="11" t="n">
        <f aca="false">COUNTIFS(Responses!$N$2:$N$1000,"&gt;=4",Responses!$C$2:$C$1000,$A$7)</f>
        <v>0</v>
      </c>
      <c r="E121" s="11" t="n">
        <f aca="false">COUNTIFS(Responses!$N$2:$N$1000,"&gt;=4",Responses!$C$2:$C$1000,$A$8)</f>
        <v>0</v>
      </c>
      <c r="F121" s="11" t="n">
        <f aca="false">COUNTIF(Responses!$N$2:$N$1000,"&gt;=4")</f>
        <v>0</v>
      </c>
      <c r="H121" s="51" t="str">
        <f aca="false">IF(B$120=0,"",B121/B$120)</f>
        <v/>
      </c>
      <c r="I121" s="51" t="str">
        <f aca="false">IF(C$120=0,"",C121/C$120)</f>
        <v/>
      </c>
      <c r="J121" s="51" t="str">
        <f aca="false">IF(D$120=0,"",D121/D$120)</f>
        <v/>
      </c>
      <c r="K121" s="51" t="str">
        <f aca="false">IF(E$120=0,"",E121/E$120)</f>
        <v/>
      </c>
      <c r="L121" s="51" t="str">
        <f aca="false">IF(F$120=0,"",F121/F$120)</f>
        <v/>
      </c>
      <c r="M121" s="13" t="str">
        <f aca="false">IF(COUNT(H121:K121)&lt;2,"",MAX(H121:K121)-MIN(H121:K121))</f>
        <v/>
      </c>
      <c r="N121" s="52" t="s">
        <v>213</v>
      </c>
      <c r="O121" s="53" t="str">
        <f aca="false">IF(M121="","",M121+ROW()/1000000000)</f>
        <v/>
      </c>
      <c r="P121" s="52" t="str">
        <f aca="false">IF(M121="","",INDEX($A$5:$A$8,MATCH(MAX(H121:K121),H121:K121,0)))</f>
        <v/>
      </c>
      <c r="Q121" s="52" t="str">
        <f aca="false">IF(M121="","",INDEX($A$5:$A$8,MATCH(MIN(H121:K121),H121:K121,0)))</f>
        <v/>
      </c>
    </row>
    <row r="122" customFormat="false" ht="15" hidden="false" customHeight="false" outlineLevel="0" collapsed="false">
      <c r="A122" s="26" t="s">
        <v>209</v>
      </c>
      <c r="B122" s="25"/>
      <c r="C122" s="25"/>
      <c r="D122" s="25"/>
      <c r="E122" s="25"/>
      <c r="F122" s="25"/>
      <c r="H122" s="35" t="str">
        <f aca="false">IFERROR(AVERAGEIFS(Responses!$N$2:$N$1000,Responses!$C$2:$C$1000,$A$5),"")</f>
        <v/>
      </c>
      <c r="I122" s="35" t="str">
        <f aca="false">IFERROR(AVERAGEIFS(Responses!$N$2:$N$1000,Responses!$C$2:$C$1000,$A$6),"")</f>
        <v/>
      </c>
      <c r="J122" s="35" t="str">
        <f aca="false">IFERROR(AVERAGEIFS(Responses!$N$2:$N$1000,Responses!$C$2:$C$1000,$A$7),"")</f>
        <v/>
      </c>
      <c r="K122" s="35" t="str">
        <f aca="false">IFERROR(AVERAGEIFS(Responses!$N$2:$N$1000,Responses!$C$2:$C$1000,$A$8),"")</f>
        <v/>
      </c>
      <c r="L122" s="35" t="str">
        <f aca="false">IFERROR(AVERAGE(Responses!$N$2:$N$1000),"")</f>
        <v/>
      </c>
      <c r="M122" s="54" t="str">
        <f aca="false">IF(COUNT(H122:K122)&lt;2,"",MAX(H122:K122)-MIN(H122:K122))</f>
        <v/>
      </c>
    </row>
    <row r="125" customFormat="false" ht="31.5" hidden="false" customHeight="true" outlineLevel="0" collapsed="false">
      <c r="A125" s="22" t="s">
        <v>91</v>
      </c>
      <c r="B125" s="4"/>
      <c r="C125" s="4"/>
      <c r="D125" s="4"/>
      <c r="E125" s="4"/>
      <c r="F125" s="4"/>
      <c r="G125" s="4"/>
      <c r="H125" s="4"/>
      <c r="I125" s="4"/>
      <c r="J125" s="4"/>
      <c r="K125" s="4"/>
      <c r="L125" s="4"/>
      <c r="M125" s="4"/>
    </row>
    <row r="126" customFormat="false" ht="23.85" hidden="false" customHeight="true" outlineLevel="0" collapsed="false">
      <c r="A126" s="23" t="s">
        <v>194</v>
      </c>
      <c r="B126" s="48" t="s">
        <v>99</v>
      </c>
      <c r="C126" s="48"/>
      <c r="D126" s="48"/>
      <c r="E126" s="48"/>
      <c r="F126" s="48"/>
      <c r="H126" s="48" t="s">
        <v>195</v>
      </c>
      <c r="I126" s="48"/>
      <c r="J126" s="48"/>
      <c r="K126" s="48"/>
      <c r="L126" s="48"/>
      <c r="M126" s="49" t="s">
        <v>196</v>
      </c>
    </row>
    <row r="127" customFormat="false" ht="37.5" hidden="false" customHeight="true" outlineLevel="0" collapsed="false">
      <c r="A127" s="50"/>
      <c r="B127" s="33" t="str">
        <f aca="false">$A$5</f>
        <v>Student only</v>
      </c>
      <c r="C127" s="33" t="str">
        <f aca="false">$A$6</f>
        <v>Employed only (full-time or part-time)</v>
      </c>
      <c r="D127" s="33" t="str">
        <f aca="false">$A$7</f>
        <v>Both student and employed</v>
      </c>
      <c r="E127" s="33" t="str">
        <f aca="false">$A$8</f>
        <v>Neither at the moment</v>
      </c>
      <c r="F127" s="33" t="s">
        <v>197</v>
      </c>
      <c r="H127" s="33" t="str">
        <f aca="false">$A$5</f>
        <v>Student only</v>
      </c>
      <c r="I127" s="33" t="str">
        <f aca="false">$A$6</f>
        <v>Employed only (full-time or part-time)</v>
      </c>
      <c r="J127" s="33" t="str">
        <f aca="false">$A$7</f>
        <v>Both student and employed</v>
      </c>
      <c r="K127" s="33" t="str">
        <f aca="false">$A$8</f>
        <v>Neither at the moment</v>
      </c>
      <c r="L127" s="33" t="s">
        <v>197</v>
      </c>
    </row>
    <row r="128" customFormat="false" ht="15" hidden="false" customHeight="false" outlineLevel="0" collapsed="false">
      <c r="A128" s="26" t="s">
        <v>198</v>
      </c>
      <c r="B128" s="27" t="n">
        <f aca="false">COUNTIFS(Responses!$C$2:$C$1000,$A$5,Responses!$O$2:$O$1000,"&lt;&gt;")</f>
        <v>0</v>
      </c>
      <c r="C128" s="27" t="n">
        <f aca="false">COUNTIFS(Responses!$C$2:$C$1000,$A$6,Responses!$O$2:$O$1000,"&lt;&gt;")</f>
        <v>0</v>
      </c>
      <c r="D128" s="27" t="n">
        <f aca="false">COUNTIFS(Responses!$C$2:$C$1000,$A$7,Responses!$O$2:$O$1000,"&lt;&gt;")</f>
        <v>0</v>
      </c>
      <c r="E128" s="27" t="n">
        <f aca="false">COUNTIFS(Responses!$C$2:$C$1000,$A$8,Responses!$O$2:$O$1000,"&lt;&gt;")</f>
        <v>0</v>
      </c>
      <c r="F128" s="27" t="n">
        <f aca="false">COUNTA(Responses!$O$2:$O$1000)</f>
        <v>0</v>
      </c>
    </row>
    <row r="129" customFormat="false" ht="15" hidden="false" customHeight="false" outlineLevel="0" collapsed="false">
      <c r="A129" s="25" t="s">
        <v>169</v>
      </c>
      <c r="B129" s="11" t="n">
        <f aca="false">COUNTIFS(Responses!$O$2:$O$1000,$A129,Responses!$C$2:$C$1000,$A$5)</f>
        <v>0</v>
      </c>
      <c r="C129" s="11" t="n">
        <f aca="false">COUNTIFS(Responses!$O$2:$O$1000,$A129,Responses!$C$2:$C$1000,$A$6)</f>
        <v>0</v>
      </c>
      <c r="D129" s="11" t="n">
        <f aca="false">COUNTIFS(Responses!$O$2:$O$1000,$A129,Responses!$C$2:$C$1000,$A$7)</f>
        <v>0</v>
      </c>
      <c r="E129" s="11" t="n">
        <f aca="false">COUNTIFS(Responses!$O$2:$O$1000,$A129,Responses!$C$2:$C$1000,$A$8)</f>
        <v>0</v>
      </c>
      <c r="F129" s="11" t="n">
        <f aca="false">COUNTIF(Responses!$O$2:$O$1000,$A129)</f>
        <v>0</v>
      </c>
      <c r="H129" s="51" t="str">
        <f aca="false">IF(B$128=0,"",B129/B$128)</f>
        <v/>
      </c>
      <c r="I129" s="51" t="str">
        <f aca="false">IF(C$128=0,"",C129/C$128)</f>
        <v/>
      </c>
      <c r="J129" s="51" t="str">
        <f aca="false">IF(D$128=0,"",D129/D$128)</f>
        <v/>
      </c>
      <c r="K129" s="51" t="str">
        <f aca="false">IF(E$128=0,"",E129/E$128)</f>
        <v/>
      </c>
      <c r="L129" s="51" t="str">
        <f aca="false">IF(F$128=0,"",F129/F$128)</f>
        <v/>
      </c>
      <c r="M129" s="13" t="str">
        <f aca="false">IF(COUNT(H129:K129)&lt;2,"",MAX(H129:K129)-MIN(H129:K129))</f>
        <v/>
      </c>
      <c r="N129" s="52" t="s">
        <v>214</v>
      </c>
      <c r="O129" s="53" t="str">
        <f aca="false">IF(M129="","",M129+ROW()/1000000000)</f>
        <v/>
      </c>
      <c r="P129" s="52" t="str">
        <f aca="false">IF(M129="","",INDEX($A$5:$A$8,MATCH(MAX(H129:K129),H129:K129,0)))</f>
        <v/>
      </c>
      <c r="Q129" s="52" t="str">
        <f aca="false">IF(M129="","",INDEX($A$5:$A$8,MATCH(MIN(H129:K129),H129:K129,0)))</f>
        <v/>
      </c>
    </row>
    <row r="130" customFormat="false" ht="15" hidden="false" customHeight="false" outlineLevel="0" collapsed="false">
      <c r="A130" s="25" t="s">
        <v>62</v>
      </c>
      <c r="B130" s="11" t="n">
        <f aca="false">COUNTIFS(Responses!$O$2:$O$1000,$A130,Responses!$C$2:$C$1000,$A$5)</f>
        <v>0</v>
      </c>
      <c r="C130" s="11" t="n">
        <f aca="false">COUNTIFS(Responses!$O$2:$O$1000,$A130,Responses!$C$2:$C$1000,$A$6)</f>
        <v>0</v>
      </c>
      <c r="D130" s="11" t="n">
        <f aca="false">COUNTIFS(Responses!$O$2:$O$1000,$A130,Responses!$C$2:$C$1000,$A$7)</f>
        <v>0</v>
      </c>
      <c r="E130" s="11" t="n">
        <f aca="false">COUNTIFS(Responses!$O$2:$O$1000,$A130,Responses!$C$2:$C$1000,$A$8)</f>
        <v>0</v>
      </c>
      <c r="F130" s="11" t="n">
        <f aca="false">COUNTIF(Responses!$O$2:$O$1000,$A130)</f>
        <v>0</v>
      </c>
      <c r="H130" s="51" t="str">
        <f aca="false">IF(B$128=0,"",B130/B$128)</f>
        <v/>
      </c>
      <c r="I130" s="51" t="str">
        <f aca="false">IF(C$128=0,"",C130/C$128)</f>
        <v/>
      </c>
      <c r="J130" s="51" t="str">
        <f aca="false">IF(D$128=0,"",D130/D$128)</f>
        <v/>
      </c>
      <c r="K130" s="51" t="str">
        <f aca="false">IF(E$128=0,"",E130/E$128)</f>
        <v/>
      </c>
      <c r="L130" s="51" t="str">
        <f aca="false">IF(F$128=0,"",F130/F$128)</f>
        <v/>
      </c>
      <c r="M130" s="13" t="str">
        <f aca="false">IF(COUNT(H130:K130)&lt;2,"",MAX(H130:K130)-MIN(H130:K130))</f>
        <v/>
      </c>
      <c r="N130" s="52" t="s">
        <v>214</v>
      </c>
      <c r="O130" s="53" t="str">
        <f aca="false">IF(M130="","",M130+ROW()/1000000000)</f>
        <v/>
      </c>
      <c r="P130" s="52" t="str">
        <f aca="false">IF(M130="","",INDEX($A$5:$A$8,MATCH(MAX(H130:K130),H130:K130,0)))</f>
        <v/>
      </c>
      <c r="Q130" s="52" t="str">
        <f aca="false">IF(M130="","",INDEX($A$5:$A$8,MATCH(MIN(H130:K130),H130:K130,0)))</f>
        <v/>
      </c>
    </row>
    <row r="131" customFormat="false" ht="15" hidden="false" customHeight="false" outlineLevel="0" collapsed="false">
      <c r="A131" s="25" t="s">
        <v>170</v>
      </c>
      <c r="B131" s="11" t="n">
        <f aca="false">COUNTIFS(Responses!$O$2:$O$1000,$A131,Responses!$C$2:$C$1000,$A$5)</f>
        <v>0</v>
      </c>
      <c r="C131" s="11" t="n">
        <f aca="false">COUNTIFS(Responses!$O$2:$O$1000,$A131,Responses!$C$2:$C$1000,$A$6)</f>
        <v>0</v>
      </c>
      <c r="D131" s="11" t="n">
        <f aca="false">COUNTIFS(Responses!$O$2:$O$1000,$A131,Responses!$C$2:$C$1000,$A$7)</f>
        <v>0</v>
      </c>
      <c r="E131" s="11" t="n">
        <f aca="false">COUNTIFS(Responses!$O$2:$O$1000,$A131,Responses!$C$2:$C$1000,$A$8)</f>
        <v>0</v>
      </c>
      <c r="F131" s="11" t="n">
        <f aca="false">COUNTIF(Responses!$O$2:$O$1000,$A131)</f>
        <v>0</v>
      </c>
      <c r="H131" s="51" t="str">
        <f aca="false">IF(B$128=0,"",B131/B$128)</f>
        <v/>
      </c>
      <c r="I131" s="51" t="str">
        <f aca="false">IF(C$128=0,"",C131/C$128)</f>
        <v/>
      </c>
      <c r="J131" s="51" t="str">
        <f aca="false">IF(D$128=0,"",D131/D$128)</f>
        <v/>
      </c>
      <c r="K131" s="51" t="str">
        <f aca="false">IF(E$128=0,"",E131/E$128)</f>
        <v/>
      </c>
      <c r="L131" s="51" t="str">
        <f aca="false">IF(F$128=0,"",F131/F$128)</f>
        <v/>
      </c>
      <c r="M131" s="13" t="str">
        <f aca="false">IF(COUNT(H131:K131)&lt;2,"",MAX(H131:K131)-MIN(H131:K131))</f>
        <v/>
      </c>
      <c r="N131" s="52" t="s">
        <v>214</v>
      </c>
      <c r="O131" s="53" t="str">
        <f aca="false">IF(M131="","",M131+ROW()/1000000000)</f>
        <v/>
      </c>
      <c r="P131" s="52" t="str">
        <f aca="false">IF(M131="","",INDEX($A$5:$A$8,MATCH(MAX(H131:K131),H131:K131,0)))</f>
        <v/>
      </c>
      <c r="Q131" s="52" t="str">
        <f aca="false">IF(M131="","",INDEX($A$5:$A$8,MATCH(MIN(H131:K131),H131:K131,0)))</f>
        <v/>
      </c>
    </row>
    <row r="132" customFormat="false" ht="15" hidden="false" customHeight="false" outlineLevel="0" collapsed="false">
      <c r="A132" s="25" t="s">
        <v>171</v>
      </c>
      <c r="B132" s="11" t="n">
        <f aca="false">COUNTIFS(Responses!$O$2:$O$1000,$A132,Responses!$C$2:$C$1000,$A$5)</f>
        <v>0</v>
      </c>
      <c r="C132" s="11" t="n">
        <f aca="false">COUNTIFS(Responses!$O$2:$O$1000,$A132,Responses!$C$2:$C$1000,$A$6)</f>
        <v>0</v>
      </c>
      <c r="D132" s="11" t="n">
        <f aca="false">COUNTIFS(Responses!$O$2:$O$1000,$A132,Responses!$C$2:$C$1000,$A$7)</f>
        <v>0</v>
      </c>
      <c r="E132" s="11" t="n">
        <f aca="false">COUNTIFS(Responses!$O$2:$O$1000,$A132,Responses!$C$2:$C$1000,$A$8)</f>
        <v>0</v>
      </c>
      <c r="F132" s="11" t="n">
        <f aca="false">COUNTIF(Responses!$O$2:$O$1000,$A132)</f>
        <v>0</v>
      </c>
      <c r="H132" s="51" t="str">
        <f aca="false">IF(B$128=0,"",B132/B$128)</f>
        <v/>
      </c>
      <c r="I132" s="51" t="str">
        <f aca="false">IF(C$128=0,"",C132/C$128)</f>
        <v/>
      </c>
      <c r="J132" s="51" t="str">
        <f aca="false">IF(D$128=0,"",D132/D$128)</f>
        <v/>
      </c>
      <c r="K132" s="51" t="str">
        <f aca="false">IF(E$128=0,"",E132/E$128)</f>
        <v/>
      </c>
      <c r="L132" s="51" t="str">
        <f aca="false">IF(F$128=0,"",F132/F$128)</f>
        <v/>
      </c>
      <c r="M132" s="13" t="str">
        <f aca="false">IF(COUNT(H132:K132)&lt;2,"",MAX(H132:K132)-MIN(H132:K132))</f>
        <v/>
      </c>
      <c r="N132" s="52" t="s">
        <v>214</v>
      </c>
      <c r="O132" s="53" t="str">
        <f aca="false">IF(M132="","",M132+ROW()/1000000000)</f>
        <v/>
      </c>
      <c r="P132" s="52" t="str">
        <f aca="false">IF(M132="","",INDEX($A$5:$A$8,MATCH(MAX(H132:K132),H132:K132,0)))</f>
        <v/>
      </c>
      <c r="Q132" s="52" t="str">
        <f aca="false">IF(M132="","",INDEX($A$5:$A$8,MATCH(MIN(H132:K132),H132:K132,0)))</f>
        <v/>
      </c>
    </row>
    <row r="133" customFormat="false" ht="15" hidden="false" customHeight="false" outlineLevel="0" collapsed="false">
      <c r="A133" s="25" t="s">
        <v>172</v>
      </c>
      <c r="B133" s="11" t="n">
        <f aca="false">COUNTIFS(Responses!$O$2:$O$1000,$A133,Responses!$C$2:$C$1000,$A$5)</f>
        <v>0</v>
      </c>
      <c r="C133" s="11" t="n">
        <f aca="false">COUNTIFS(Responses!$O$2:$O$1000,$A133,Responses!$C$2:$C$1000,$A$6)</f>
        <v>0</v>
      </c>
      <c r="D133" s="11" t="n">
        <f aca="false">COUNTIFS(Responses!$O$2:$O$1000,$A133,Responses!$C$2:$C$1000,$A$7)</f>
        <v>0</v>
      </c>
      <c r="E133" s="11" t="n">
        <f aca="false">COUNTIFS(Responses!$O$2:$O$1000,$A133,Responses!$C$2:$C$1000,$A$8)</f>
        <v>0</v>
      </c>
      <c r="F133" s="11" t="n">
        <f aca="false">COUNTIF(Responses!$O$2:$O$1000,$A133)</f>
        <v>0</v>
      </c>
      <c r="H133" s="51" t="str">
        <f aca="false">IF(B$128=0,"",B133/B$128)</f>
        <v/>
      </c>
      <c r="I133" s="51" t="str">
        <f aca="false">IF(C$128=0,"",C133/C$128)</f>
        <v/>
      </c>
      <c r="J133" s="51" t="str">
        <f aca="false">IF(D$128=0,"",D133/D$128)</f>
        <v/>
      </c>
      <c r="K133" s="51" t="str">
        <f aca="false">IF(E$128=0,"",E133/E$128)</f>
        <v/>
      </c>
      <c r="L133" s="51" t="str">
        <f aca="false">IF(F$128=0,"",F133/F$128)</f>
        <v/>
      </c>
      <c r="M133" s="13" t="str">
        <f aca="false">IF(COUNT(H133:K133)&lt;2,"",MAX(H133:K133)-MIN(H133:K133))</f>
        <v/>
      </c>
      <c r="N133" s="52" t="s">
        <v>214</v>
      </c>
      <c r="O133" s="53" t="str">
        <f aca="false">IF(M133="","",M133+ROW()/1000000000)</f>
        <v/>
      </c>
      <c r="P133" s="52" t="str">
        <f aca="false">IF(M133="","",INDEX($A$5:$A$8,MATCH(MAX(H133:K133),H133:K133,0)))</f>
        <v/>
      </c>
      <c r="Q133" s="52" t="str">
        <f aca="false">IF(M133="","",INDEX($A$5:$A$8,MATCH(MIN(H133:K133),H133:K133,0)))</f>
        <v/>
      </c>
    </row>
    <row r="136" customFormat="false" ht="31.5" hidden="false" customHeight="true" outlineLevel="0" collapsed="false">
      <c r="A136" s="22" t="s">
        <v>92</v>
      </c>
      <c r="B136" s="4"/>
      <c r="C136" s="4"/>
      <c r="D136" s="4"/>
      <c r="E136" s="4"/>
      <c r="F136" s="4"/>
      <c r="G136" s="4"/>
      <c r="H136" s="4"/>
      <c r="I136" s="4"/>
      <c r="J136" s="4"/>
      <c r="K136" s="4"/>
      <c r="L136" s="4"/>
      <c r="M136" s="4"/>
    </row>
    <row r="137" customFormat="false" ht="23.85" hidden="false" customHeight="true" outlineLevel="0" collapsed="false">
      <c r="A137" s="23" t="s">
        <v>194</v>
      </c>
      <c r="B137" s="48" t="s">
        <v>99</v>
      </c>
      <c r="C137" s="48"/>
      <c r="D137" s="48"/>
      <c r="E137" s="48"/>
      <c r="F137" s="48"/>
      <c r="H137" s="48" t="s">
        <v>195</v>
      </c>
      <c r="I137" s="48"/>
      <c r="J137" s="48"/>
      <c r="K137" s="48"/>
      <c r="L137" s="48"/>
      <c r="M137" s="49" t="s">
        <v>196</v>
      </c>
    </row>
    <row r="138" customFormat="false" ht="37.5" hidden="false" customHeight="true" outlineLevel="0" collapsed="false">
      <c r="A138" s="50"/>
      <c r="B138" s="33" t="str">
        <f aca="false">$A$5</f>
        <v>Student only</v>
      </c>
      <c r="C138" s="33" t="str">
        <f aca="false">$A$6</f>
        <v>Employed only (full-time or part-time)</v>
      </c>
      <c r="D138" s="33" t="str">
        <f aca="false">$A$7</f>
        <v>Both student and employed</v>
      </c>
      <c r="E138" s="33" t="str">
        <f aca="false">$A$8</f>
        <v>Neither at the moment</v>
      </c>
      <c r="F138" s="33" t="s">
        <v>197</v>
      </c>
      <c r="H138" s="33" t="str">
        <f aca="false">$A$5</f>
        <v>Student only</v>
      </c>
      <c r="I138" s="33" t="str">
        <f aca="false">$A$6</f>
        <v>Employed only (full-time or part-time)</v>
      </c>
      <c r="J138" s="33" t="str">
        <f aca="false">$A$7</f>
        <v>Both student and employed</v>
      </c>
      <c r="K138" s="33" t="str">
        <f aca="false">$A$8</f>
        <v>Neither at the moment</v>
      </c>
      <c r="L138" s="33" t="s">
        <v>197</v>
      </c>
    </row>
    <row r="139" customFormat="false" ht="15" hidden="false" customHeight="false" outlineLevel="0" collapsed="false">
      <c r="A139" s="26" t="s">
        <v>198</v>
      </c>
      <c r="B139" s="27" t="n">
        <f aca="false">COUNTIFS(Responses!$C$2:$C$1000,$A$5,Responses!$P$2:$P$1000,"&lt;&gt;")</f>
        <v>0</v>
      </c>
      <c r="C139" s="27" t="n">
        <f aca="false">COUNTIFS(Responses!$C$2:$C$1000,$A$6,Responses!$P$2:$P$1000,"&lt;&gt;")</f>
        <v>0</v>
      </c>
      <c r="D139" s="27" t="n">
        <f aca="false">COUNTIFS(Responses!$C$2:$C$1000,$A$7,Responses!$P$2:$P$1000,"&lt;&gt;")</f>
        <v>0</v>
      </c>
      <c r="E139" s="27" t="n">
        <f aca="false">COUNTIFS(Responses!$C$2:$C$1000,$A$8,Responses!$P$2:$P$1000,"&lt;&gt;")</f>
        <v>0</v>
      </c>
      <c r="F139" s="27" t="n">
        <f aca="false">COUNTA(Responses!$P$2:$P$1000)</f>
        <v>0</v>
      </c>
    </row>
    <row r="140" customFormat="false" ht="15" hidden="false" customHeight="false" outlineLevel="0" collapsed="false">
      <c r="A140" s="25" t="s">
        <v>173</v>
      </c>
      <c r="B140" s="11" t="n">
        <f aca="false">COUNTIFS(Responses!$P$2:$P$1000,$A140,Responses!$C$2:$C$1000,$A$5)</f>
        <v>0</v>
      </c>
      <c r="C140" s="11" t="n">
        <f aca="false">COUNTIFS(Responses!$P$2:$P$1000,$A140,Responses!$C$2:$C$1000,$A$6)</f>
        <v>0</v>
      </c>
      <c r="D140" s="11" t="n">
        <f aca="false">COUNTIFS(Responses!$P$2:$P$1000,$A140,Responses!$C$2:$C$1000,$A$7)</f>
        <v>0</v>
      </c>
      <c r="E140" s="11" t="n">
        <f aca="false">COUNTIFS(Responses!$P$2:$P$1000,$A140,Responses!$C$2:$C$1000,$A$8)</f>
        <v>0</v>
      </c>
      <c r="F140" s="11" t="n">
        <f aca="false">COUNTIF(Responses!$P$2:$P$1000,$A140)</f>
        <v>0</v>
      </c>
      <c r="H140" s="51" t="str">
        <f aca="false">IF(B$139=0,"",B140/B$139)</f>
        <v/>
      </c>
      <c r="I140" s="51" t="str">
        <f aca="false">IF(C$139=0,"",C140/C$139)</f>
        <v/>
      </c>
      <c r="J140" s="51" t="str">
        <f aca="false">IF(D$139=0,"",D140/D$139)</f>
        <v/>
      </c>
      <c r="K140" s="51" t="str">
        <f aca="false">IF(E$139=0,"",E140/E$139)</f>
        <v/>
      </c>
      <c r="L140" s="51" t="str">
        <f aca="false">IF(F$139=0,"",F140/F$139)</f>
        <v/>
      </c>
      <c r="M140" s="13" t="str">
        <f aca="false">IF(COUNT(H140:K140)&lt;2,"",MAX(H140:K140)-MIN(H140:K140))</f>
        <v/>
      </c>
      <c r="N140" s="52" t="s">
        <v>215</v>
      </c>
      <c r="O140" s="53" t="str">
        <f aca="false">IF(M140="","",M140+ROW()/1000000000)</f>
        <v/>
      </c>
      <c r="P140" s="52" t="str">
        <f aca="false">IF(M140="","",INDEX($A$5:$A$8,MATCH(MAX(H140:K140),H140:K140,0)))</f>
        <v/>
      </c>
      <c r="Q140" s="52" t="str">
        <f aca="false">IF(M140="","",INDEX($A$5:$A$8,MATCH(MIN(H140:K140),H140:K140,0)))</f>
        <v/>
      </c>
    </row>
    <row r="141" customFormat="false" ht="15" hidden="false" customHeight="false" outlineLevel="0" collapsed="false">
      <c r="A141" s="25" t="s">
        <v>64</v>
      </c>
      <c r="B141" s="11" t="n">
        <f aca="false">COUNTIFS(Responses!$P$2:$P$1000,$A141,Responses!$C$2:$C$1000,$A$5)</f>
        <v>0</v>
      </c>
      <c r="C141" s="11" t="n">
        <f aca="false">COUNTIFS(Responses!$P$2:$P$1000,$A141,Responses!$C$2:$C$1000,$A$6)</f>
        <v>0</v>
      </c>
      <c r="D141" s="11" t="n">
        <f aca="false">COUNTIFS(Responses!$P$2:$P$1000,$A141,Responses!$C$2:$C$1000,$A$7)</f>
        <v>0</v>
      </c>
      <c r="E141" s="11" t="n">
        <f aca="false">COUNTIFS(Responses!$P$2:$P$1000,$A141,Responses!$C$2:$C$1000,$A$8)</f>
        <v>0</v>
      </c>
      <c r="F141" s="11" t="n">
        <f aca="false">COUNTIF(Responses!$P$2:$P$1000,$A141)</f>
        <v>0</v>
      </c>
      <c r="H141" s="51" t="str">
        <f aca="false">IF(B$139=0,"",B141/B$139)</f>
        <v/>
      </c>
      <c r="I141" s="51" t="str">
        <f aca="false">IF(C$139=0,"",C141/C$139)</f>
        <v/>
      </c>
      <c r="J141" s="51" t="str">
        <f aca="false">IF(D$139=0,"",D141/D$139)</f>
        <v/>
      </c>
      <c r="K141" s="51" t="str">
        <f aca="false">IF(E$139=0,"",E141/E$139)</f>
        <v/>
      </c>
      <c r="L141" s="51" t="str">
        <f aca="false">IF(F$139=0,"",F141/F$139)</f>
        <v/>
      </c>
      <c r="M141" s="13" t="str">
        <f aca="false">IF(COUNT(H141:K141)&lt;2,"",MAX(H141:K141)-MIN(H141:K141))</f>
        <v/>
      </c>
      <c r="N141" s="52" t="s">
        <v>215</v>
      </c>
      <c r="O141" s="53" t="str">
        <f aca="false">IF(M141="","",M141+ROW()/1000000000)</f>
        <v/>
      </c>
      <c r="P141" s="52" t="str">
        <f aca="false">IF(M141="","",INDEX($A$5:$A$8,MATCH(MAX(H141:K141),H141:K141,0)))</f>
        <v/>
      </c>
      <c r="Q141" s="52" t="str">
        <f aca="false">IF(M141="","",INDEX($A$5:$A$8,MATCH(MIN(H141:K141),H141:K141,0)))</f>
        <v/>
      </c>
    </row>
    <row r="142" customFormat="false" ht="15" hidden="false" customHeight="false" outlineLevel="0" collapsed="false">
      <c r="A142" s="25" t="s">
        <v>174</v>
      </c>
      <c r="B142" s="11" t="n">
        <f aca="false">COUNTIFS(Responses!$P$2:$P$1000,$A142,Responses!$C$2:$C$1000,$A$5)</f>
        <v>0</v>
      </c>
      <c r="C142" s="11" t="n">
        <f aca="false">COUNTIFS(Responses!$P$2:$P$1000,$A142,Responses!$C$2:$C$1000,$A$6)</f>
        <v>0</v>
      </c>
      <c r="D142" s="11" t="n">
        <f aca="false">COUNTIFS(Responses!$P$2:$P$1000,$A142,Responses!$C$2:$C$1000,$A$7)</f>
        <v>0</v>
      </c>
      <c r="E142" s="11" t="n">
        <f aca="false">COUNTIFS(Responses!$P$2:$P$1000,$A142,Responses!$C$2:$C$1000,$A$8)</f>
        <v>0</v>
      </c>
      <c r="F142" s="11" t="n">
        <f aca="false">COUNTIF(Responses!$P$2:$P$1000,$A142)</f>
        <v>0</v>
      </c>
      <c r="H142" s="51" t="str">
        <f aca="false">IF(B$139=0,"",B142/B$139)</f>
        <v/>
      </c>
      <c r="I142" s="51" t="str">
        <f aca="false">IF(C$139=0,"",C142/C$139)</f>
        <v/>
      </c>
      <c r="J142" s="51" t="str">
        <f aca="false">IF(D$139=0,"",D142/D$139)</f>
        <v/>
      </c>
      <c r="K142" s="51" t="str">
        <f aca="false">IF(E$139=0,"",E142/E$139)</f>
        <v/>
      </c>
      <c r="L142" s="51" t="str">
        <f aca="false">IF(F$139=0,"",F142/F$139)</f>
        <v/>
      </c>
      <c r="M142" s="13" t="str">
        <f aca="false">IF(COUNT(H142:K142)&lt;2,"",MAX(H142:K142)-MIN(H142:K142))</f>
        <v/>
      </c>
      <c r="N142" s="52" t="s">
        <v>215</v>
      </c>
      <c r="O142" s="53" t="str">
        <f aca="false">IF(M142="","",M142+ROW()/1000000000)</f>
        <v/>
      </c>
      <c r="P142" s="52" t="str">
        <f aca="false">IF(M142="","",INDEX($A$5:$A$8,MATCH(MAX(H142:K142),H142:K142,0)))</f>
        <v/>
      </c>
      <c r="Q142" s="52" t="str">
        <f aca="false">IF(M142="","",INDEX($A$5:$A$8,MATCH(MIN(H142:K142),H142:K142,0)))</f>
        <v/>
      </c>
    </row>
    <row r="143" customFormat="false" ht="15" hidden="false" customHeight="false" outlineLevel="0" collapsed="false">
      <c r="A143" s="25" t="s">
        <v>175</v>
      </c>
      <c r="B143" s="11" t="n">
        <f aca="false">COUNTIFS(Responses!$P$2:$P$1000,$A143,Responses!$C$2:$C$1000,$A$5)</f>
        <v>0</v>
      </c>
      <c r="C143" s="11" t="n">
        <f aca="false">COUNTIFS(Responses!$P$2:$P$1000,$A143,Responses!$C$2:$C$1000,$A$6)</f>
        <v>0</v>
      </c>
      <c r="D143" s="11" t="n">
        <f aca="false">COUNTIFS(Responses!$P$2:$P$1000,$A143,Responses!$C$2:$C$1000,$A$7)</f>
        <v>0</v>
      </c>
      <c r="E143" s="11" t="n">
        <f aca="false">COUNTIFS(Responses!$P$2:$P$1000,$A143,Responses!$C$2:$C$1000,$A$8)</f>
        <v>0</v>
      </c>
      <c r="F143" s="11" t="n">
        <f aca="false">COUNTIF(Responses!$P$2:$P$1000,$A143)</f>
        <v>0</v>
      </c>
      <c r="H143" s="51" t="str">
        <f aca="false">IF(B$139=0,"",B143/B$139)</f>
        <v/>
      </c>
      <c r="I143" s="51" t="str">
        <f aca="false">IF(C$139=0,"",C143/C$139)</f>
        <v/>
      </c>
      <c r="J143" s="51" t="str">
        <f aca="false">IF(D$139=0,"",D143/D$139)</f>
        <v/>
      </c>
      <c r="K143" s="51" t="str">
        <f aca="false">IF(E$139=0,"",E143/E$139)</f>
        <v/>
      </c>
      <c r="L143" s="51" t="str">
        <f aca="false">IF(F$139=0,"",F143/F$139)</f>
        <v/>
      </c>
      <c r="M143" s="13" t="str">
        <f aca="false">IF(COUNT(H143:K143)&lt;2,"",MAX(H143:K143)-MIN(H143:K143))</f>
        <v/>
      </c>
      <c r="N143" s="52" t="s">
        <v>215</v>
      </c>
      <c r="O143" s="53" t="str">
        <f aca="false">IF(M143="","",M143+ROW()/1000000000)</f>
        <v/>
      </c>
      <c r="P143" s="52" t="str">
        <f aca="false">IF(M143="","",INDEX($A$5:$A$8,MATCH(MAX(H143:K143),H143:K143,0)))</f>
        <v/>
      </c>
      <c r="Q143" s="52" t="str">
        <f aca="false">IF(M143="","",INDEX($A$5:$A$8,MATCH(MIN(H143:K143),H143:K143,0)))</f>
        <v/>
      </c>
    </row>
    <row r="144" customFormat="false" ht="15" hidden="false" customHeight="false" outlineLevel="0" collapsed="false">
      <c r="A144" s="25" t="s">
        <v>176</v>
      </c>
      <c r="B144" s="11" t="n">
        <f aca="false">COUNTIFS(Responses!$P$2:$P$1000,$A144,Responses!$C$2:$C$1000,$A$5)</f>
        <v>0</v>
      </c>
      <c r="C144" s="11" t="n">
        <f aca="false">COUNTIFS(Responses!$P$2:$P$1000,$A144,Responses!$C$2:$C$1000,$A$6)</f>
        <v>0</v>
      </c>
      <c r="D144" s="11" t="n">
        <f aca="false">COUNTIFS(Responses!$P$2:$P$1000,$A144,Responses!$C$2:$C$1000,$A$7)</f>
        <v>0</v>
      </c>
      <c r="E144" s="11" t="n">
        <f aca="false">COUNTIFS(Responses!$P$2:$P$1000,$A144,Responses!$C$2:$C$1000,$A$8)</f>
        <v>0</v>
      </c>
      <c r="F144" s="11" t="n">
        <f aca="false">COUNTIF(Responses!$P$2:$P$1000,$A144)</f>
        <v>0</v>
      </c>
      <c r="H144" s="51" t="str">
        <f aca="false">IF(B$139=0,"",B144/B$139)</f>
        <v/>
      </c>
      <c r="I144" s="51" t="str">
        <f aca="false">IF(C$139=0,"",C144/C$139)</f>
        <v/>
      </c>
      <c r="J144" s="51" t="str">
        <f aca="false">IF(D$139=0,"",D144/D$139)</f>
        <v/>
      </c>
      <c r="K144" s="51" t="str">
        <f aca="false">IF(E$139=0,"",E144/E$139)</f>
        <v/>
      </c>
      <c r="L144" s="51" t="str">
        <f aca="false">IF(F$139=0,"",F144/F$139)</f>
        <v/>
      </c>
      <c r="M144" s="13" t="str">
        <f aca="false">IF(COUNT(H144:K144)&lt;2,"",MAX(H144:K144)-MIN(H144:K144))</f>
        <v/>
      </c>
      <c r="N144" s="52" t="s">
        <v>215</v>
      </c>
      <c r="O144" s="53" t="str">
        <f aca="false">IF(M144="","",M144+ROW()/1000000000)</f>
        <v/>
      </c>
      <c r="P144" s="52" t="str">
        <f aca="false">IF(M144="","",INDEX($A$5:$A$8,MATCH(MAX(H144:K144),H144:K144,0)))</f>
        <v/>
      </c>
      <c r="Q144" s="52" t="str">
        <f aca="false">IF(M144="","",INDEX($A$5:$A$8,MATCH(MIN(H144:K144),H144:K144,0)))</f>
        <v/>
      </c>
    </row>
  </sheetData>
  <mergeCells count="36">
    <mergeCell ref="D11:G11"/>
    <mergeCell ref="H11:K11"/>
    <mergeCell ref="D12:G12"/>
    <mergeCell ref="H12:K12"/>
    <mergeCell ref="D13:G13"/>
    <mergeCell ref="H13:K13"/>
    <mergeCell ref="D14:G14"/>
    <mergeCell ref="H14:K14"/>
    <mergeCell ref="D15:G15"/>
    <mergeCell ref="H15:K15"/>
    <mergeCell ref="D16:G16"/>
    <mergeCell ref="H16:K16"/>
    <mergeCell ref="B22:F22"/>
    <mergeCell ref="H22:L22"/>
    <mergeCell ref="B32:F32"/>
    <mergeCell ref="H32:L32"/>
    <mergeCell ref="B43:F43"/>
    <mergeCell ref="H43:L43"/>
    <mergeCell ref="B56:F56"/>
    <mergeCell ref="H56:L56"/>
    <mergeCell ref="B67:F67"/>
    <mergeCell ref="H67:L67"/>
    <mergeCell ref="B76:F76"/>
    <mergeCell ref="H76:L76"/>
    <mergeCell ref="B84:F84"/>
    <mergeCell ref="H84:L84"/>
    <mergeCell ref="B94:F94"/>
    <mergeCell ref="H94:L94"/>
    <mergeCell ref="B105:F105"/>
    <mergeCell ref="H105:L105"/>
    <mergeCell ref="B118:F118"/>
    <mergeCell ref="H118:L118"/>
    <mergeCell ref="B126:F126"/>
    <mergeCell ref="H126:L126"/>
    <mergeCell ref="B137:F137"/>
    <mergeCell ref="H137:L137"/>
  </mergeCells>
  <conditionalFormatting sqref="B5:B8">
    <cfRule type="cellIs" priority="2" operator="lessThan" aboveAverage="0" equalAverage="0" bottom="0" percent="0" rank="0" text="" dxfId="1">
      <formula>Start_Here!$C$15</formula>
    </cfRule>
  </conditionalFormatting>
  <conditionalFormatting sqref="B24:E24">
    <cfRule type="cellIs" priority="3" operator="lessThan" aboveAverage="0" equalAverage="0" bottom="0" percent="0" rank="0" text="" dxfId="1">
      <formula>Start_Here!$C$15</formula>
    </cfRule>
  </conditionalFormatting>
  <conditionalFormatting sqref="B34:E34">
    <cfRule type="cellIs" priority="4" operator="lessThan" aboveAverage="0" equalAverage="0" bottom="0" percent="0" rank="0" text="" dxfId="1">
      <formula>Start_Here!$C$15</formula>
    </cfRule>
  </conditionalFormatting>
  <conditionalFormatting sqref="B45:E45">
    <cfRule type="cellIs" priority="5" operator="lessThan" aboveAverage="0" equalAverage="0" bottom="0" percent="0" rank="0" text="" dxfId="1">
      <formula>Start_Here!$C$15</formula>
    </cfRule>
  </conditionalFormatting>
  <conditionalFormatting sqref="B58:E58">
    <cfRule type="cellIs" priority="6" operator="lessThan" aboveAverage="0" equalAverage="0" bottom="0" percent="0" rank="0" text="" dxfId="1">
      <formula>Start_Here!$C$15</formula>
    </cfRule>
  </conditionalFormatting>
  <conditionalFormatting sqref="B69:E69">
    <cfRule type="cellIs" priority="7" operator="lessThan" aboveAverage="0" equalAverage="0" bottom="0" percent="0" rank="0" text="" dxfId="1">
      <formula>Start_Here!$C$15</formula>
    </cfRule>
  </conditionalFormatting>
  <conditionalFormatting sqref="B78:E78">
    <cfRule type="cellIs" priority="8" operator="lessThan" aboveAverage="0" equalAverage="0" bottom="0" percent="0" rank="0" text="" dxfId="1">
      <formula>Start_Here!$C$15</formula>
    </cfRule>
  </conditionalFormatting>
  <conditionalFormatting sqref="B86:E86">
    <cfRule type="cellIs" priority="9" operator="lessThan" aboveAverage="0" equalAverage="0" bottom="0" percent="0" rank="0" text="" dxfId="1">
      <formula>Start_Here!$C$15</formula>
    </cfRule>
  </conditionalFormatting>
  <conditionalFormatting sqref="B96:E96">
    <cfRule type="cellIs" priority="10" operator="lessThan" aboveAverage="0" equalAverage="0" bottom="0" percent="0" rank="0" text="" dxfId="1">
      <formula>Start_Here!$C$15</formula>
    </cfRule>
  </conditionalFormatting>
  <conditionalFormatting sqref="B107:E107">
    <cfRule type="cellIs" priority="11" operator="lessThan" aboveAverage="0" equalAverage="0" bottom="0" percent="0" rank="0" text="" dxfId="1">
      <formula>Start_Here!$C$15</formula>
    </cfRule>
  </conditionalFormatting>
  <conditionalFormatting sqref="B120:E120">
    <cfRule type="cellIs" priority="12" operator="lessThan" aboveAverage="0" equalAverage="0" bottom="0" percent="0" rank="0" text="" dxfId="1">
      <formula>Start_Here!$C$15</formula>
    </cfRule>
  </conditionalFormatting>
  <conditionalFormatting sqref="B128:E128">
    <cfRule type="cellIs" priority="13" operator="lessThan" aboveAverage="0" equalAverage="0" bottom="0" percent="0" rank="0" text="" dxfId="1">
      <formula>Start_Here!$C$15</formula>
    </cfRule>
  </conditionalFormatting>
  <conditionalFormatting sqref="B139:E139">
    <cfRule type="cellIs" priority="14" operator="lessThan" aboveAverage="0" equalAverage="0" bottom="0" percent="0" rank="0" text="" dxfId="1">
      <formula>Start_Here!$C$15</formula>
    </cfRule>
  </conditionalFormatting>
  <conditionalFormatting sqref="M21:M147">
    <cfRule type="expression" priority="15" aboveAverage="0" equalAverage="0" bottom="0" percent="0" rank="0" text="" dxfId="2">
      <formula>AND(ISNUMBER(M21),M21&gt;=Start_Here!$C$16,NOT(ISNUMBER(SEARCH("Mean",A21))))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1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6" min="2" style="0" width="11"/>
    <col collapsed="false" customWidth="true" hidden="false" outlineLevel="0" max="7" min="7" style="0" width="3"/>
    <col collapsed="false" customWidth="true" hidden="false" outlineLevel="0" max="12" min="8" style="0" width="11"/>
    <col collapsed="false" customWidth="true" hidden="false" outlineLevel="0" max="13" min="13" style="0" width="13"/>
    <col collapsed="false" customWidth="true" hidden="true" outlineLevel="0" max="17" min="14" style="0" width="9"/>
  </cols>
  <sheetData>
    <row r="1" customFormat="false" ht="19.7" hidden="false" customHeight="false" outlineLevel="0" collapsed="false">
      <c r="A1" s="1" t="s">
        <v>219</v>
      </c>
    </row>
    <row r="2" customFormat="false" ht="15" hidden="false" customHeight="false" outlineLevel="0" collapsed="false">
      <c r="A2" s="2" t="s">
        <v>220</v>
      </c>
    </row>
    <row r="4" customFormat="false" ht="15" hidden="false" customHeight="false" outlineLevel="0" collapsed="false">
      <c r="A4" s="38" t="s">
        <v>181</v>
      </c>
      <c r="B4" s="39" t="s">
        <v>182</v>
      </c>
      <c r="C4" s="39" t="s">
        <v>183</v>
      </c>
      <c r="D4" s="39" t="s">
        <v>184</v>
      </c>
    </row>
    <row r="5" customFormat="false" ht="15" hidden="false" customHeight="false" outlineLevel="0" collapsed="false">
      <c r="A5" s="25" t="s">
        <v>150</v>
      </c>
      <c r="B5" s="11" t="n">
        <f aca="false">COUNTIF(Responses!$K$2:$K$1000,A5)</f>
        <v>0</v>
      </c>
      <c r="C5" s="13" t="str">
        <f aca="false">IF(Start_Here!$C$19=0,"",B5/Start_Here!$C$19)</f>
        <v/>
      </c>
      <c r="D5" s="40" t="str">
        <f aca="false">IF(B5&lt;Start_Here!$C$15,"small n","")</f>
        <v>small n</v>
      </c>
    </row>
    <row r="6" customFormat="false" ht="15" hidden="false" customHeight="false" outlineLevel="0" collapsed="false">
      <c r="A6" s="25" t="s">
        <v>54</v>
      </c>
      <c r="B6" s="11" t="n">
        <f aca="false">COUNTIF(Responses!$K$2:$K$1000,A6)</f>
        <v>0</v>
      </c>
      <c r="C6" s="13" t="str">
        <f aca="false">IF(Start_Here!$C$19=0,"",B6/Start_Here!$C$19)</f>
        <v/>
      </c>
      <c r="D6" s="40" t="str">
        <f aca="false">IF(B6&lt;Start_Here!$C$15,"small n","")</f>
        <v>small n</v>
      </c>
    </row>
    <row r="7" customFormat="false" ht="15" hidden="false" customHeight="false" outlineLevel="0" collapsed="false">
      <c r="A7" s="25" t="s">
        <v>151</v>
      </c>
      <c r="B7" s="11" t="n">
        <f aca="false">COUNTIF(Responses!$K$2:$K$1000,A7)</f>
        <v>0</v>
      </c>
      <c r="C7" s="13" t="str">
        <f aca="false">IF(Start_Here!$C$19=0,"",B7/Start_Here!$C$19)</f>
        <v/>
      </c>
      <c r="D7" s="40" t="str">
        <f aca="false">IF(B7&lt;Start_Here!$C$15,"small n","")</f>
        <v>small n</v>
      </c>
    </row>
    <row r="8" customFormat="false" ht="15" hidden="false" customHeight="false" outlineLevel="0" collapsed="false">
      <c r="A8" s="25" t="s">
        <v>152</v>
      </c>
      <c r="B8" s="11" t="n">
        <f aca="false">COUNTIF(Responses!$K$2:$K$1000,A8)</f>
        <v>0</v>
      </c>
      <c r="C8" s="13" t="str">
        <f aca="false">IF(Start_Here!$C$19=0,"",B8/Start_Here!$C$19)</f>
        <v/>
      </c>
      <c r="D8" s="40" t="str">
        <f aca="false">IF(B8&lt;Start_Here!$C$15,"small n","")</f>
        <v>small n</v>
      </c>
    </row>
    <row r="10" customFormat="false" ht="15" hidden="false" customHeight="false" outlineLevel="0" collapsed="false">
      <c r="A10" s="41" t="s">
        <v>185</v>
      </c>
    </row>
    <row r="11" customFormat="false" ht="15" hidden="false" customHeight="false" outlineLevel="0" collapsed="false">
      <c r="A11" s="38" t="s">
        <v>186</v>
      </c>
      <c r="B11" s="39" t="s">
        <v>187</v>
      </c>
      <c r="C11" s="39" t="s">
        <v>188</v>
      </c>
      <c r="D11" s="42" t="s">
        <v>189</v>
      </c>
      <c r="E11" s="42"/>
      <c r="F11" s="42"/>
      <c r="G11" s="42"/>
      <c r="H11" s="42" t="s">
        <v>190</v>
      </c>
      <c r="I11" s="42"/>
      <c r="J11" s="42"/>
      <c r="K11" s="42"/>
      <c r="L11" s="43" t="s">
        <v>191</v>
      </c>
      <c r="M11" s="4"/>
    </row>
    <row r="12" customFormat="false" ht="25.5" hidden="false" customHeight="true" outlineLevel="0" collapsed="false">
      <c r="A12" s="44" t="str">
        <f aca="false">IF(L12="","",INDEX($A$21:$A$147,L12))</f>
        <v/>
      </c>
      <c r="B12" s="12" t="str">
        <f aca="false">IF(L12="","",INDEX($N$21:$N$147,L12))</f>
        <v/>
      </c>
      <c r="C12" s="45" t="str">
        <f aca="false">IF(L12="","",INDEX($M$21:$M$147,L12))</f>
        <v/>
      </c>
      <c r="D12" s="25" t="str">
        <f aca="false">IF(L12="","",INDEX($P$21:$P$147,L12))</f>
        <v/>
      </c>
      <c r="E12" s="25"/>
      <c r="F12" s="25"/>
      <c r="G12" s="25"/>
      <c r="H12" s="25" t="str">
        <f aca="false">IF(L12="","",INDEX($Q$21:$Q$147,L12))</f>
        <v/>
      </c>
      <c r="I12" s="25"/>
      <c r="J12" s="25"/>
      <c r="K12" s="25"/>
      <c r="L12" s="46" t="str">
        <f aca="false">IFERROR(MATCH(LARGE($O$21:$O$147,1),$O$21:$O$147,0),"")</f>
        <v/>
      </c>
    </row>
    <row r="13" customFormat="false" ht="25.5" hidden="false" customHeight="true" outlineLevel="0" collapsed="false">
      <c r="A13" s="44" t="str">
        <f aca="false">IF(L13="","",INDEX($A$21:$A$147,L13))</f>
        <v/>
      </c>
      <c r="B13" s="12" t="str">
        <f aca="false">IF(L13="","",INDEX($N$21:$N$147,L13))</f>
        <v/>
      </c>
      <c r="C13" s="45" t="str">
        <f aca="false">IF(L13="","",INDEX($M$21:$M$147,L13))</f>
        <v/>
      </c>
      <c r="D13" s="25" t="str">
        <f aca="false">IF(L13="","",INDEX($P$21:$P$147,L13))</f>
        <v/>
      </c>
      <c r="E13" s="25"/>
      <c r="F13" s="25"/>
      <c r="G13" s="25"/>
      <c r="H13" s="25" t="str">
        <f aca="false">IF(L13="","",INDEX($Q$21:$Q$147,L13))</f>
        <v/>
      </c>
      <c r="I13" s="25"/>
      <c r="J13" s="25"/>
      <c r="K13" s="25"/>
      <c r="L13" s="46" t="str">
        <f aca="false">IFERROR(MATCH(LARGE($O$21:$O$147,2),$O$21:$O$147,0),"")</f>
        <v/>
      </c>
    </row>
    <row r="14" customFormat="false" ht="25.5" hidden="false" customHeight="true" outlineLevel="0" collapsed="false">
      <c r="A14" s="44" t="str">
        <f aca="false">IF(L14="","",INDEX($A$21:$A$147,L14))</f>
        <v/>
      </c>
      <c r="B14" s="12" t="str">
        <f aca="false">IF(L14="","",INDEX($N$21:$N$147,L14))</f>
        <v/>
      </c>
      <c r="C14" s="45" t="str">
        <f aca="false">IF(L14="","",INDEX($M$21:$M$147,L14))</f>
        <v/>
      </c>
      <c r="D14" s="25" t="str">
        <f aca="false">IF(L14="","",INDEX($P$21:$P$147,L14))</f>
        <v/>
      </c>
      <c r="E14" s="25"/>
      <c r="F14" s="25"/>
      <c r="G14" s="25"/>
      <c r="H14" s="25" t="str">
        <f aca="false">IF(L14="","",INDEX($Q$21:$Q$147,L14))</f>
        <v/>
      </c>
      <c r="I14" s="25"/>
      <c r="J14" s="25"/>
      <c r="K14" s="25"/>
      <c r="L14" s="46" t="str">
        <f aca="false">IFERROR(MATCH(LARGE($O$21:$O$147,3),$O$21:$O$147,0),"")</f>
        <v/>
      </c>
    </row>
    <row r="15" customFormat="false" ht="25.5" hidden="false" customHeight="true" outlineLevel="0" collapsed="false">
      <c r="A15" s="44" t="str">
        <f aca="false">IF(L15="","",INDEX($A$21:$A$147,L15))</f>
        <v/>
      </c>
      <c r="B15" s="12" t="str">
        <f aca="false">IF(L15="","",INDEX($N$21:$N$147,L15))</f>
        <v/>
      </c>
      <c r="C15" s="45" t="str">
        <f aca="false">IF(L15="","",INDEX($M$21:$M$147,L15))</f>
        <v/>
      </c>
      <c r="D15" s="25" t="str">
        <f aca="false">IF(L15="","",INDEX($P$21:$P$147,L15))</f>
        <v/>
      </c>
      <c r="E15" s="25"/>
      <c r="F15" s="25"/>
      <c r="G15" s="25"/>
      <c r="H15" s="25" t="str">
        <f aca="false">IF(L15="","",INDEX($Q$21:$Q$147,L15))</f>
        <v/>
      </c>
      <c r="I15" s="25"/>
      <c r="J15" s="25"/>
      <c r="K15" s="25"/>
      <c r="L15" s="46" t="str">
        <f aca="false">IFERROR(MATCH(LARGE($O$21:$O$147,4),$O$21:$O$147,0),"")</f>
        <v/>
      </c>
    </row>
    <row r="16" customFormat="false" ht="25.5" hidden="false" customHeight="true" outlineLevel="0" collapsed="false">
      <c r="A16" s="44" t="str">
        <f aca="false">IF(L16="","",INDEX($A$21:$A$147,L16))</f>
        <v/>
      </c>
      <c r="B16" s="12" t="str">
        <f aca="false">IF(L16="","",INDEX($N$21:$N$147,L16))</f>
        <v/>
      </c>
      <c r="C16" s="45" t="str">
        <f aca="false">IF(L16="","",INDEX($M$21:$M$147,L16))</f>
        <v/>
      </c>
      <c r="D16" s="25" t="str">
        <f aca="false">IF(L16="","",INDEX($P$21:$P$147,L16))</f>
        <v/>
      </c>
      <c r="E16" s="25"/>
      <c r="F16" s="25"/>
      <c r="G16" s="25"/>
      <c r="H16" s="25" t="str">
        <f aca="false">IF(L16="","",INDEX($Q$21:$Q$147,L16))</f>
        <v/>
      </c>
      <c r="I16" s="25"/>
      <c r="J16" s="25"/>
      <c r="K16" s="25"/>
      <c r="L16" s="46" t="str">
        <f aca="false">IFERROR(MATCH(LARGE($O$21:$O$147,5),$O$21:$O$147,0),"")</f>
        <v/>
      </c>
    </row>
    <row r="17" customFormat="false" ht="15" hidden="false" customHeight="false" outlineLevel="0" collapsed="false">
      <c r="A17" s="47" t="s">
        <v>192</v>
      </c>
    </row>
    <row r="18" customFormat="false" ht="15" hidden="false" customHeight="false" outlineLevel="0" collapsed="false">
      <c r="A18" s="23" t="s">
        <v>193</v>
      </c>
    </row>
    <row r="21" customFormat="false" ht="31.5" hidden="false" customHeight="true" outlineLevel="0" collapsed="false">
      <c r="A21" s="22" t="s">
        <v>78</v>
      </c>
      <c r="B21" s="4"/>
      <c r="C21" s="4"/>
      <c r="D21" s="4"/>
      <c r="E21" s="4"/>
      <c r="F21" s="4"/>
      <c r="G21" s="4"/>
      <c r="H21" s="4"/>
      <c r="I21" s="4"/>
      <c r="J21" s="4"/>
      <c r="K21" s="4"/>
      <c r="L21" s="4"/>
      <c r="M21" s="4"/>
    </row>
    <row r="22" customFormat="false" ht="23.85" hidden="false" customHeight="true" outlineLevel="0" collapsed="false">
      <c r="A22" s="23" t="s">
        <v>194</v>
      </c>
      <c r="B22" s="48" t="s">
        <v>99</v>
      </c>
      <c r="C22" s="48"/>
      <c r="D22" s="48"/>
      <c r="E22" s="48"/>
      <c r="F22" s="48"/>
      <c r="H22" s="48" t="s">
        <v>195</v>
      </c>
      <c r="I22" s="48"/>
      <c r="J22" s="48"/>
      <c r="K22" s="48"/>
      <c r="L22" s="48"/>
      <c r="M22" s="49" t="s">
        <v>196</v>
      </c>
    </row>
    <row r="23" customFormat="false" ht="37.5" hidden="false" customHeight="true" outlineLevel="0" collapsed="false">
      <c r="A23" s="50"/>
      <c r="B23" s="33" t="str">
        <f aca="false">$A$5</f>
        <v>Formal training</v>
      </c>
      <c r="C23" s="33" t="str">
        <f aca="false">$A$6</f>
        <v>Written policy or guidelines only</v>
      </c>
      <c r="D23" s="33" t="str">
        <f aca="false">$A$7</f>
        <v>Informal advice only</v>
      </c>
      <c r="E23" s="33" t="str">
        <f aca="false">$A$8</f>
        <v>No guidance at all</v>
      </c>
      <c r="F23" s="33" t="s">
        <v>197</v>
      </c>
      <c r="H23" s="33" t="str">
        <f aca="false">$A$5</f>
        <v>Formal training</v>
      </c>
      <c r="I23" s="33" t="str">
        <f aca="false">$A$6</f>
        <v>Written policy or guidelines only</v>
      </c>
      <c r="J23" s="33" t="str">
        <f aca="false">$A$7</f>
        <v>Informal advice only</v>
      </c>
      <c r="K23" s="33" t="str">
        <f aca="false">$A$8</f>
        <v>No guidance at all</v>
      </c>
      <c r="L23" s="33" t="s">
        <v>197</v>
      </c>
    </row>
    <row r="24" customFormat="false" ht="15" hidden="false" customHeight="false" outlineLevel="0" collapsed="false">
      <c r="A24" s="26" t="s">
        <v>198</v>
      </c>
      <c r="B24" s="27" t="n">
        <f aca="false">COUNTIFS(Responses!$K$2:$K$1000,$A$5,Responses!$B$2:$B$1000,"&lt;&gt;")</f>
        <v>0</v>
      </c>
      <c r="C24" s="27" t="n">
        <f aca="false">COUNTIFS(Responses!$K$2:$K$1000,$A$6,Responses!$B$2:$B$1000,"&lt;&gt;")</f>
        <v>0</v>
      </c>
      <c r="D24" s="27" t="n">
        <f aca="false">COUNTIFS(Responses!$K$2:$K$1000,$A$7,Responses!$B$2:$B$1000,"&lt;&gt;")</f>
        <v>0</v>
      </c>
      <c r="E24" s="27" t="n">
        <f aca="false">COUNTIFS(Responses!$K$2:$K$1000,$A$8,Responses!$B$2:$B$1000,"&lt;&gt;")</f>
        <v>0</v>
      </c>
      <c r="F24" s="27" t="n">
        <f aca="false">COUNTA(Responses!$B$2:$B$1000)</f>
        <v>0</v>
      </c>
    </row>
    <row r="25" customFormat="false" ht="15" hidden="false" customHeight="false" outlineLevel="0" collapsed="false">
      <c r="A25" s="25" t="s">
        <v>101</v>
      </c>
      <c r="B25" s="11" t="n">
        <f aca="false">COUNTIFS(Responses!$B$2:$B$1000,$A25,Responses!$K$2:$K$1000,$A$5)</f>
        <v>0</v>
      </c>
      <c r="C25" s="11" t="n">
        <f aca="false">COUNTIFS(Responses!$B$2:$B$1000,$A25,Responses!$K$2:$K$1000,$A$6)</f>
        <v>0</v>
      </c>
      <c r="D25" s="11" t="n">
        <f aca="false">COUNTIFS(Responses!$B$2:$B$1000,$A25,Responses!$K$2:$K$1000,$A$7)</f>
        <v>0</v>
      </c>
      <c r="E25" s="11" t="n">
        <f aca="false">COUNTIFS(Responses!$B$2:$B$1000,$A25,Responses!$K$2:$K$1000,$A$8)</f>
        <v>0</v>
      </c>
      <c r="F25" s="11" t="n">
        <f aca="false">COUNTIF(Responses!$B$2:$B$1000,$A25)</f>
        <v>0</v>
      </c>
      <c r="H25" s="51" t="str">
        <f aca="false">IF(B$24=0,"",B25/B$24)</f>
        <v/>
      </c>
      <c r="I25" s="51" t="str">
        <f aca="false">IF(C$24=0,"",C25/C$24)</f>
        <v/>
      </c>
      <c r="J25" s="51" t="str">
        <f aca="false">IF(D$24=0,"",D25/D$24)</f>
        <v/>
      </c>
      <c r="K25" s="51" t="str">
        <f aca="false">IF(E$24=0,"",E25/E$24)</f>
        <v/>
      </c>
      <c r="L25" s="51" t="str">
        <f aca="false">IF(F$24=0,"",F25/F$24)</f>
        <v/>
      </c>
      <c r="M25" s="13" t="str">
        <f aca="false">IF(COUNT(H25:K25)&lt;2,"",MAX(H25:K25)-MIN(H25:K25))</f>
        <v/>
      </c>
      <c r="N25" s="52" t="s">
        <v>218</v>
      </c>
      <c r="O25" s="53" t="str">
        <f aca="false">IF(M25="","",M25+ROW()/1000000000)</f>
        <v/>
      </c>
      <c r="P25" s="52" t="str">
        <f aca="false">IF(M25="","",INDEX($A$5:$A$8,MATCH(MAX(H25:K25),H25:K25,0)))</f>
        <v/>
      </c>
      <c r="Q25" s="52" t="str">
        <f aca="false">IF(M25="","",INDEX($A$5:$A$8,MATCH(MIN(H25:K25),H25:K25,0)))</f>
        <v/>
      </c>
    </row>
    <row r="26" customFormat="false" ht="15" hidden="false" customHeight="false" outlineLevel="0" collapsed="false">
      <c r="A26" s="25" t="s">
        <v>34</v>
      </c>
      <c r="B26" s="11" t="n">
        <f aca="false">COUNTIFS(Responses!$B$2:$B$1000,$A26,Responses!$K$2:$K$1000,$A$5)</f>
        <v>0</v>
      </c>
      <c r="C26" s="11" t="n">
        <f aca="false">COUNTIFS(Responses!$B$2:$B$1000,$A26,Responses!$K$2:$K$1000,$A$6)</f>
        <v>0</v>
      </c>
      <c r="D26" s="11" t="n">
        <f aca="false">COUNTIFS(Responses!$B$2:$B$1000,$A26,Responses!$K$2:$K$1000,$A$7)</f>
        <v>0</v>
      </c>
      <c r="E26" s="11" t="n">
        <f aca="false">COUNTIFS(Responses!$B$2:$B$1000,$A26,Responses!$K$2:$K$1000,$A$8)</f>
        <v>0</v>
      </c>
      <c r="F26" s="11" t="n">
        <f aca="false">COUNTIF(Responses!$B$2:$B$1000,$A26)</f>
        <v>0</v>
      </c>
      <c r="H26" s="51" t="str">
        <f aca="false">IF(B$24=0,"",B26/B$24)</f>
        <v/>
      </c>
      <c r="I26" s="51" t="str">
        <f aca="false">IF(C$24=0,"",C26/C$24)</f>
        <v/>
      </c>
      <c r="J26" s="51" t="str">
        <f aca="false">IF(D$24=0,"",D26/D$24)</f>
        <v/>
      </c>
      <c r="K26" s="51" t="str">
        <f aca="false">IF(E$24=0,"",E26/E$24)</f>
        <v/>
      </c>
      <c r="L26" s="51" t="str">
        <f aca="false">IF(F$24=0,"",F26/F$24)</f>
        <v/>
      </c>
      <c r="M26" s="13" t="str">
        <f aca="false">IF(COUNT(H26:K26)&lt;2,"",MAX(H26:K26)-MIN(H26:K26))</f>
        <v/>
      </c>
      <c r="N26" s="52" t="s">
        <v>218</v>
      </c>
      <c r="O26" s="53" t="str">
        <f aca="false">IF(M26="","",M26+ROW()/1000000000)</f>
        <v/>
      </c>
      <c r="P26" s="52" t="str">
        <f aca="false">IF(M26="","",INDEX($A$5:$A$8,MATCH(MAX(H26:K26),H26:K26,0)))</f>
        <v/>
      </c>
      <c r="Q26" s="52" t="str">
        <f aca="false">IF(M26="","",INDEX($A$5:$A$8,MATCH(MIN(H26:K26),H26:K26,0)))</f>
        <v/>
      </c>
    </row>
    <row r="27" customFormat="false" ht="15" hidden="false" customHeight="false" outlineLevel="0" collapsed="false">
      <c r="A27" s="25" t="s">
        <v>102</v>
      </c>
      <c r="B27" s="11" t="n">
        <f aca="false">COUNTIFS(Responses!$B$2:$B$1000,$A27,Responses!$K$2:$K$1000,$A$5)</f>
        <v>0</v>
      </c>
      <c r="C27" s="11" t="n">
        <f aca="false">COUNTIFS(Responses!$B$2:$B$1000,$A27,Responses!$K$2:$K$1000,$A$6)</f>
        <v>0</v>
      </c>
      <c r="D27" s="11" t="n">
        <f aca="false">COUNTIFS(Responses!$B$2:$B$1000,$A27,Responses!$K$2:$K$1000,$A$7)</f>
        <v>0</v>
      </c>
      <c r="E27" s="11" t="n">
        <f aca="false">COUNTIFS(Responses!$B$2:$B$1000,$A27,Responses!$K$2:$K$1000,$A$8)</f>
        <v>0</v>
      </c>
      <c r="F27" s="11" t="n">
        <f aca="false">COUNTIF(Responses!$B$2:$B$1000,$A27)</f>
        <v>0</v>
      </c>
      <c r="H27" s="51" t="str">
        <f aca="false">IF(B$24=0,"",B27/B$24)</f>
        <v/>
      </c>
      <c r="I27" s="51" t="str">
        <f aca="false">IF(C$24=0,"",C27/C$24)</f>
        <v/>
      </c>
      <c r="J27" s="51" t="str">
        <f aca="false">IF(D$24=0,"",D27/D$24)</f>
        <v/>
      </c>
      <c r="K27" s="51" t="str">
        <f aca="false">IF(E$24=0,"",E27/E$24)</f>
        <v/>
      </c>
      <c r="L27" s="51" t="str">
        <f aca="false">IF(F$24=0,"",F27/F$24)</f>
        <v/>
      </c>
      <c r="M27" s="13" t="str">
        <f aca="false">IF(COUNT(H27:K27)&lt;2,"",MAX(H27:K27)-MIN(H27:K27))</f>
        <v/>
      </c>
      <c r="N27" s="52" t="s">
        <v>218</v>
      </c>
      <c r="O27" s="53" t="str">
        <f aca="false">IF(M27="","",M27+ROW()/1000000000)</f>
        <v/>
      </c>
      <c r="P27" s="52" t="str">
        <f aca="false">IF(M27="","",INDEX($A$5:$A$8,MATCH(MAX(H27:K27),H27:K27,0)))</f>
        <v/>
      </c>
      <c r="Q27" s="52" t="str">
        <f aca="false">IF(M27="","",INDEX($A$5:$A$8,MATCH(MIN(H27:K27),H27:K27,0)))</f>
        <v/>
      </c>
    </row>
    <row r="28" customFormat="false" ht="15" hidden="false" customHeight="false" outlineLevel="0" collapsed="false">
      <c r="A28" s="25" t="s">
        <v>103</v>
      </c>
      <c r="B28" s="11" t="n">
        <f aca="false">COUNTIFS(Responses!$B$2:$B$1000,$A28,Responses!$K$2:$K$1000,$A$5)</f>
        <v>0</v>
      </c>
      <c r="C28" s="11" t="n">
        <f aca="false">COUNTIFS(Responses!$B$2:$B$1000,$A28,Responses!$K$2:$K$1000,$A$6)</f>
        <v>0</v>
      </c>
      <c r="D28" s="11" t="n">
        <f aca="false">COUNTIFS(Responses!$B$2:$B$1000,$A28,Responses!$K$2:$K$1000,$A$7)</f>
        <v>0</v>
      </c>
      <c r="E28" s="11" t="n">
        <f aca="false">COUNTIFS(Responses!$B$2:$B$1000,$A28,Responses!$K$2:$K$1000,$A$8)</f>
        <v>0</v>
      </c>
      <c r="F28" s="11" t="n">
        <f aca="false">COUNTIF(Responses!$B$2:$B$1000,$A28)</f>
        <v>0</v>
      </c>
      <c r="H28" s="51" t="str">
        <f aca="false">IF(B$24=0,"",B28/B$24)</f>
        <v/>
      </c>
      <c r="I28" s="51" t="str">
        <f aca="false">IF(C$24=0,"",C28/C$24)</f>
        <v/>
      </c>
      <c r="J28" s="51" t="str">
        <f aca="false">IF(D$24=0,"",D28/D$24)</f>
        <v/>
      </c>
      <c r="K28" s="51" t="str">
        <f aca="false">IF(E$24=0,"",E28/E$24)</f>
        <v/>
      </c>
      <c r="L28" s="51" t="str">
        <f aca="false">IF(F$24=0,"",F28/F$24)</f>
        <v/>
      </c>
      <c r="M28" s="13" t="str">
        <f aca="false">IF(COUNT(H28:K28)&lt;2,"",MAX(H28:K28)-MIN(H28:K28))</f>
        <v/>
      </c>
      <c r="N28" s="52" t="s">
        <v>218</v>
      </c>
      <c r="O28" s="53" t="str">
        <f aca="false">IF(M28="","",M28+ROW()/1000000000)</f>
        <v/>
      </c>
      <c r="P28" s="52" t="str">
        <f aca="false">IF(M28="","",INDEX($A$5:$A$8,MATCH(MAX(H28:K28),H28:K28,0)))</f>
        <v/>
      </c>
      <c r="Q28" s="52" t="str">
        <f aca="false">IF(M28="","",INDEX($A$5:$A$8,MATCH(MIN(H28:K28),H28:K28,0)))</f>
        <v/>
      </c>
    </row>
    <row r="31" customFormat="false" ht="31.5" hidden="false" customHeight="true" outlineLevel="0" collapsed="false">
      <c r="A31" s="22" t="s">
        <v>79</v>
      </c>
      <c r="B31" s="4"/>
      <c r="C31" s="4"/>
      <c r="D31" s="4"/>
      <c r="E31" s="4"/>
      <c r="F31" s="4"/>
      <c r="G31" s="4"/>
      <c r="H31" s="4"/>
      <c r="I31" s="4"/>
      <c r="J31" s="4"/>
      <c r="K31" s="4"/>
      <c r="L31" s="4"/>
      <c r="M31" s="4"/>
    </row>
    <row r="32" customFormat="false" ht="23.85" hidden="false" customHeight="true" outlineLevel="0" collapsed="false">
      <c r="A32" s="23" t="s">
        <v>194</v>
      </c>
      <c r="B32" s="48" t="s">
        <v>99</v>
      </c>
      <c r="C32" s="48"/>
      <c r="D32" s="48"/>
      <c r="E32" s="48"/>
      <c r="F32" s="48"/>
      <c r="H32" s="48" t="s">
        <v>195</v>
      </c>
      <c r="I32" s="48"/>
      <c r="J32" s="48"/>
      <c r="K32" s="48"/>
      <c r="L32" s="48"/>
      <c r="M32" s="49" t="s">
        <v>196</v>
      </c>
    </row>
    <row r="33" customFormat="false" ht="37.5" hidden="false" customHeight="true" outlineLevel="0" collapsed="false">
      <c r="A33" s="50"/>
      <c r="B33" s="33" t="str">
        <f aca="false">$A$5</f>
        <v>Formal training</v>
      </c>
      <c r="C33" s="33" t="str">
        <f aca="false">$A$6</f>
        <v>Written policy or guidelines only</v>
      </c>
      <c r="D33" s="33" t="str">
        <f aca="false">$A$7</f>
        <v>Informal advice only</v>
      </c>
      <c r="E33" s="33" t="str">
        <f aca="false">$A$8</f>
        <v>No guidance at all</v>
      </c>
      <c r="F33" s="33" t="s">
        <v>197</v>
      </c>
      <c r="H33" s="33" t="str">
        <f aca="false">$A$5</f>
        <v>Formal training</v>
      </c>
      <c r="I33" s="33" t="str">
        <f aca="false">$A$6</f>
        <v>Written policy or guidelines only</v>
      </c>
      <c r="J33" s="33" t="str">
        <f aca="false">$A$7</f>
        <v>Informal advice only</v>
      </c>
      <c r="K33" s="33" t="str">
        <f aca="false">$A$8</f>
        <v>No guidance at all</v>
      </c>
      <c r="L33" s="33" t="s">
        <v>197</v>
      </c>
    </row>
    <row r="34" customFormat="false" ht="15" hidden="false" customHeight="false" outlineLevel="0" collapsed="false">
      <c r="A34" s="26" t="s">
        <v>198</v>
      </c>
      <c r="B34" s="27" t="n">
        <f aca="false">COUNTIFS(Responses!$K$2:$K$1000,$A$5,Responses!$C$2:$C$1000,"&lt;&gt;")</f>
        <v>0</v>
      </c>
      <c r="C34" s="27" t="n">
        <f aca="false">COUNTIFS(Responses!$K$2:$K$1000,$A$6,Responses!$C$2:$C$1000,"&lt;&gt;")</f>
        <v>0</v>
      </c>
      <c r="D34" s="27" t="n">
        <f aca="false">COUNTIFS(Responses!$K$2:$K$1000,$A$7,Responses!$C$2:$C$1000,"&lt;&gt;")</f>
        <v>0</v>
      </c>
      <c r="E34" s="27" t="n">
        <f aca="false">COUNTIFS(Responses!$K$2:$K$1000,$A$8,Responses!$C$2:$C$1000,"&lt;&gt;")</f>
        <v>0</v>
      </c>
      <c r="F34" s="27" t="n">
        <f aca="false">COUNTA(Responses!$C$2:$C$1000)</f>
        <v>0</v>
      </c>
    </row>
    <row r="35" customFormat="false" ht="15" hidden="false" customHeight="false" outlineLevel="0" collapsed="false">
      <c r="A35" s="25" t="s">
        <v>109</v>
      </c>
      <c r="B35" s="11" t="n">
        <f aca="false">COUNTIFS(Responses!$C$2:$C$1000,$A35,Responses!$K$2:$K$1000,$A$5)</f>
        <v>0</v>
      </c>
      <c r="C35" s="11" t="n">
        <f aca="false">COUNTIFS(Responses!$C$2:$C$1000,$A35,Responses!$K$2:$K$1000,$A$6)</f>
        <v>0</v>
      </c>
      <c r="D35" s="11" t="n">
        <f aca="false">COUNTIFS(Responses!$C$2:$C$1000,$A35,Responses!$K$2:$K$1000,$A$7)</f>
        <v>0</v>
      </c>
      <c r="E35" s="11" t="n">
        <f aca="false">COUNTIFS(Responses!$C$2:$C$1000,$A35,Responses!$K$2:$K$1000,$A$8)</f>
        <v>0</v>
      </c>
      <c r="F35" s="11" t="n">
        <f aca="false">COUNTIF(Responses!$C$2:$C$1000,$A35)</f>
        <v>0</v>
      </c>
      <c r="H35" s="51" t="str">
        <f aca="false">IF(B$34=0,"",B35/B$34)</f>
        <v/>
      </c>
      <c r="I35" s="51" t="str">
        <f aca="false">IF(C$34=0,"",C35/C$34)</f>
        <v/>
      </c>
      <c r="J35" s="51" t="str">
        <f aca="false">IF(D$34=0,"",D35/D$34)</f>
        <v/>
      </c>
      <c r="K35" s="51" t="str">
        <f aca="false">IF(E$34=0,"",E35/E$34)</f>
        <v/>
      </c>
      <c r="L35" s="51" t="str">
        <f aca="false">IF(F$34=0,"",F35/F$34)</f>
        <v/>
      </c>
      <c r="M35" s="13" t="str">
        <f aca="false">IF(COUNT(H35:K35)&lt;2,"",MAX(H35:K35)-MIN(H35:K35))</f>
        <v/>
      </c>
      <c r="N35" s="52" t="s">
        <v>199</v>
      </c>
      <c r="O35" s="53" t="str">
        <f aca="false">IF(M35="","",M35+ROW()/1000000000)</f>
        <v/>
      </c>
      <c r="P35" s="52" t="str">
        <f aca="false">IF(M35="","",INDEX($A$5:$A$8,MATCH(MAX(H35:K35),H35:K35,0)))</f>
        <v/>
      </c>
      <c r="Q35" s="52" t="str">
        <f aca="false">IF(M35="","",INDEX($A$5:$A$8,MATCH(MIN(H35:K35),H35:K35,0)))</f>
        <v/>
      </c>
    </row>
    <row r="36" customFormat="false" ht="15" hidden="false" customHeight="false" outlineLevel="0" collapsed="false">
      <c r="A36" s="25" t="s">
        <v>37</v>
      </c>
      <c r="B36" s="11" t="n">
        <f aca="false">COUNTIFS(Responses!$C$2:$C$1000,$A36,Responses!$K$2:$K$1000,$A$5)</f>
        <v>0</v>
      </c>
      <c r="C36" s="11" t="n">
        <f aca="false">COUNTIFS(Responses!$C$2:$C$1000,$A36,Responses!$K$2:$K$1000,$A$6)</f>
        <v>0</v>
      </c>
      <c r="D36" s="11" t="n">
        <f aca="false">COUNTIFS(Responses!$C$2:$C$1000,$A36,Responses!$K$2:$K$1000,$A$7)</f>
        <v>0</v>
      </c>
      <c r="E36" s="11" t="n">
        <f aca="false">COUNTIFS(Responses!$C$2:$C$1000,$A36,Responses!$K$2:$K$1000,$A$8)</f>
        <v>0</v>
      </c>
      <c r="F36" s="11" t="n">
        <f aca="false">COUNTIF(Responses!$C$2:$C$1000,$A36)</f>
        <v>0</v>
      </c>
      <c r="H36" s="51" t="str">
        <f aca="false">IF(B$34=0,"",B36/B$34)</f>
        <v/>
      </c>
      <c r="I36" s="51" t="str">
        <f aca="false">IF(C$34=0,"",C36/C$34)</f>
        <v/>
      </c>
      <c r="J36" s="51" t="str">
        <f aca="false">IF(D$34=0,"",D36/D$34)</f>
        <v/>
      </c>
      <c r="K36" s="51" t="str">
        <f aca="false">IF(E$34=0,"",E36/E$34)</f>
        <v/>
      </c>
      <c r="L36" s="51" t="str">
        <f aca="false">IF(F$34=0,"",F36/F$34)</f>
        <v/>
      </c>
      <c r="M36" s="13" t="str">
        <f aca="false">IF(COUNT(H36:K36)&lt;2,"",MAX(H36:K36)-MIN(H36:K36))</f>
        <v/>
      </c>
      <c r="N36" s="52" t="s">
        <v>199</v>
      </c>
      <c r="O36" s="53" t="str">
        <f aca="false">IF(M36="","",M36+ROW()/1000000000)</f>
        <v/>
      </c>
      <c r="P36" s="52" t="str">
        <f aca="false">IF(M36="","",INDEX($A$5:$A$8,MATCH(MAX(H36:K36),H36:K36,0)))</f>
        <v/>
      </c>
      <c r="Q36" s="52" t="str">
        <f aca="false">IF(M36="","",INDEX($A$5:$A$8,MATCH(MIN(H36:K36),H36:K36,0)))</f>
        <v/>
      </c>
    </row>
    <row r="37" customFormat="false" ht="15" hidden="false" customHeight="false" outlineLevel="0" collapsed="false">
      <c r="A37" s="25" t="s">
        <v>110</v>
      </c>
      <c r="B37" s="11" t="n">
        <f aca="false">COUNTIFS(Responses!$C$2:$C$1000,$A37,Responses!$K$2:$K$1000,$A$5)</f>
        <v>0</v>
      </c>
      <c r="C37" s="11" t="n">
        <f aca="false">COUNTIFS(Responses!$C$2:$C$1000,$A37,Responses!$K$2:$K$1000,$A$6)</f>
        <v>0</v>
      </c>
      <c r="D37" s="11" t="n">
        <f aca="false">COUNTIFS(Responses!$C$2:$C$1000,$A37,Responses!$K$2:$K$1000,$A$7)</f>
        <v>0</v>
      </c>
      <c r="E37" s="11" t="n">
        <f aca="false">COUNTIFS(Responses!$C$2:$C$1000,$A37,Responses!$K$2:$K$1000,$A$8)</f>
        <v>0</v>
      </c>
      <c r="F37" s="11" t="n">
        <f aca="false">COUNTIF(Responses!$C$2:$C$1000,$A37)</f>
        <v>0</v>
      </c>
      <c r="H37" s="51" t="str">
        <f aca="false">IF(B$34=0,"",B37/B$34)</f>
        <v/>
      </c>
      <c r="I37" s="51" t="str">
        <f aca="false">IF(C$34=0,"",C37/C$34)</f>
        <v/>
      </c>
      <c r="J37" s="51" t="str">
        <f aca="false">IF(D$34=0,"",D37/D$34)</f>
        <v/>
      </c>
      <c r="K37" s="51" t="str">
        <f aca="false">IF(E$34=0,"",E37/E$34)</f>
        <v/>
      </c>
      <c r="L37" s="51" t="str">
        <f aca="false">IF(F$34=0,"",F37/F$34)</f>
        <v/>
      </c>
      <c r="M37" s="13" t="str">
        <f aca="false">IF(COUNT(H37:K37)&lt;2,"",MAX(H37:K37)-MIN(H37:K37))</f>
        <v/>
      </c>
      <c r="N37" s="52" t="s">
        <v>199</v>
      </c>
      <c r="O37" s="53" t="str">
        <f aca="false">IF(M37="","",M37+ROW()/1000000000)</f>
        <v/>
      </c>
      <c r="P37" s="52" t="str">
        <f aca="false">IF(M37="","",INDEX($A$5:$A$8,MATCH(MAX(H37:K37),H37:K37,0)))</f>
        <v/>
      </c>
      <c r="Q37" s="52" t="str">
        <f aca="false">IF(M37="","",INDEX($A$5:$A$8,MATCH(MIN(H37:K37),H37:K37,0)))</f>
        <v/>
      </c>
    </row>
    <row r="38" customFormat="false" ht="15" hidden="false" customHeight="false" outlineLevel="0" collapsed="false">
      <c r="A38" s="25" t="s">
        <v>111</v>
      </c>
      <c r="B38" s="11" t="n">
        <f aca="false">COUNTIFS(Responses!$C$2:$C$1000,$A38,Responses!$K$2:$K$1000,$A$5)</f>
        <v>0</v>
      </c>
      <c r="C38" s="11" t="n">
        <f aca="false">COUNTIFS(Responses!$C$2:$C$1000,$A38,Responses!$K$2:$K$1000,$A$6)</f>
        <v>0</v>
      </c>
      <c r="D38" s="11" t="n">
        <f aca="false">COUNTIFS(Responses!$C$2:$C$1000,$A38,Responses!$K$2:$K$1000,$A$7)</f>
        <v>0</v>
      </c>
      <c r="E38" s="11" t="n">
        <f aca="false">COUNTIFS(Responses!$C$2:$C$1000,$A38,Responses!$K$2:$K$1000,$A$8)</f>
        <v>0</v>
      </c>
      <c r="F38" s="11" t="n">
        <f aca="false">COUNTIF(Responses!$C$2:$C$1000,$A38)</f>
        <v>0</v>
      </c>
      <c r="H38" s="51" t="str">
        <f aca="false">IF(B$34=0,"",B38/B$34)</f>
        <v/>
      </c>
      <c r="I38" s="51" t="str">
        <f aca="false">IF(C$34=0,"",C38/C$34)</f>
        <v/>
      </c>
      <c r="J38" s="51" t="str">
        <f aca="false">IF(D$34=0,"",D38/D$34)</f>
        <v/>
      </c>
      <c r="K38" s="51" t="str">
        <f aca="false">IF(E$34=0,"",E38/E$34)</f>
        <v/>
      </c>
      <c r="L38" s="51" t="str">
        <f aca="false">IF(F$34=0,"",F38/F$34)</f>
        <v/>
      </c>
      <c r="M38" s="13" t="str">
        <f aca="false">IF(COUNT(H38:K38)&lt;2,"",MAX(H38:K38)-MIN(H38:K38))</f>
        <v/>
      </c>
      <c r="N38" s="52" t="s">
        <v>199</v>
      </c>
      <c r="O38" s="53" t="str">
        <f aca="false">IF(M38="","",M38+ROW()/1000000000)</f>
        <v/>
      </c>
      <c r="P38" s="52" t="str">
        <f aca="false">IF(M38="","",INDEX($A$5:$A$8,MATCH(MAX(H38:K38),H38:K38,0)))</f>
        <v/>
      </c>
      <c r="Q38" s="52" t="str">
        <f aca="false">IF(M38="","",INDEX($A$5:$A$8,MATCH(MIN(H38:K38),H38:K38,0)))</f>
        <v/>
      </c>
    </row>
    <row r="41" customFormat="false" ht="31.5" hidden="false" customHeight="true" outlineLevel="0" collapsed="false">
      <c r="A41" s="22" t="s">
        <v>80</v>
      </c>
      <c r="B41" s="4"/>
      <c r="C41" s="4"/>
      <c r="D41" s="4"/>
      <c r="E41" s="4"/>
      <c r="F41" s="4"/>
      <c r="G41" s="4"/>
      <c r="H41" s="4"/>
      <c r="I41" s="4"/>
      <c r="J41" s="4"/>
      <c r="K41" s="4"/>
      <c r="L41" s="4"/>
      <c r="M41" s="4"/>
    </row>
    <row r="42" customFormat="false" ht="23.85" hidden="false" customHeight="true" outlineLevel="0" collapsed="false">
      <c r="A42" s="23" t="s">
        <v>194</v>
      </c>
      <c r="B42" s="48" t="s">
        <v>99</v>
      </c>
      <c r="C42" s="48"/>
      <c r="D42" s="48"/>
      <c r="E42" s="48"/>
      <c r="F42" s="48"/>
      <c r="H42" s="48" t="s">
        <v>195</v>
      </c>
      <c r="I42" s="48"/>
      <c r="J42" s="48"/>
      <c r="K42" s="48"/>
      <c r="L42" s="48"/>
      <c r="M42" s="49" t="s">
        <v>196</v>
      </c>
    </row>
    <row r="43" customFormat="false" ht="37.5" hidden="false" customHeight="true" outlineLevel="0" collapsed="false">
      <c r="A43" s="50"/>
      <c r="B43" s="33" t="str">
        <f aca="false">$A$5</f>
        <v>Formal training</v>
      </c>
      <c r="C43" s="33" t="str">
        <f aca="false">$A$6</f>
        <v>Written policy or guidelines only</v>
      </c>
      <c r="D43" s="33" t="str">
        <f aca="false">$A$7</f>
        <v>Informal advice only</v>
      </c>
      <c r="E43" s="33" t="str">
        <f aca="false">$A$8</f>
        <v>No guidance at all</v>
      </c>
      <c r="F43" s="33" t="s">
        <v>197</v>
      </c>
      <c r="H43" s="33" t="str">
        <f aca="false">$A$5</f>
        <v>Formal training</v>
      </c>
      <c r="I43" s="33" t="str">
        <f aca="false">$A$6</f>
        <v>Written policy or guidelines only</v>
      </c>
      <c r="J43" s="33" t="str">
        <f aca="false">$A$7</f>
        <v>Informal advice only</v>
      </c>
      <c r="K43" s="33" t="str">
        <f aca="false">$A$8</f>
        <v>No guidance at all</v>
      </c>
      <c r="L43" s="33" t="s">
        <v>197</v>
      </c>
    </row>
    <row r="44" customFormat="false" ht="15" hidden="false" customHeight="false" outlineLevel="0" collapsed="false">
      <c r="A44" s="26" t="s">
        <v>198</v>
      </c>
      <c r="B44" s="27" t="n">
        <f aca="false">COUNTIFS(Responses!$K$2:$K$1000,$A$5,Responses!$D$2:$D$1000,"&lt;&gt;")</f>
        <v>0</v>
      </c>
      <c r="C44" s="27" t="n">
        <f aca="false">COUNTIFS(Responses!$K$2:$K$1000,$A$6,Responses!$D$2:$D$1000,"&lt;&gt;")</f>
        <v>0</v>
      </c>
      <c r="D44" s="27" t="n">
        <f aca="false">COUNTIFS(Responses!$K$2:$K$1000,$A$7,Responses!$D$2:$D$1000,"&lt;&gt;")</f>
        <v>0</v>
      </c>
      <c r="E44" s="27" t="n">
        <f aca="false">COUNTIFS(Responses!$K$2:$K$1000,$A$8,Responses!$D$2:$D$1000,"&lt;&gt;")</f>
        <v>0</v>
      </c>
      <c r="F44" s="27" t="n">
        <f aca="false">COUNTA(Responses!$D$2:$D$1000)</f>
        <v>0</v>
      </c>
    </row>
    <row r="45" customFormat="false" ht="15" hidden="false" customHeight="false" outlineLevel="0" collapsed="false">
      <c r="A45" s="25" t="s">
        <v>112</v>
      </c>
      <c r="B45" s="11" t="n">
        <f aca="false">COUNTIFS(Responses!$D$2:$D$1000,$A45,Responses!$K$2:$K$1000,$A$5)</f>
        <v>0</v>
      </c>
      <c r="C45" s="11" t="n">
        <f aca="false">COUNTIFS(Responses!$D$2:$D$1000,$A45,Responses!$K$2:$K$1000,$A$6)</f>
        <v>0</v>
      </c>
      <c r="D45" s="11" t="n">
        <f aca="false">COUNTIFS(Responses!$D$2:$D$1000,$A45,Responses!$K$2:$K$1000,$A$7)</f>
        <v>0</v>
      </c>
      <c r="E45" s="11" t="n">
        <f aca="false">COUNTIFS(Responses!$D$2:$D$1000,$A45,Responses!$K$2:$K$1000,$A$8)</f>
        <v>0</v>
      </c>
      <c r="F45" s="11" t="n">
        <f aca="false">COUNTIF(Responses!$D$2:$D$1000,$A45)</f>
        <v>0</v>
      </c>
      <c r="H45" s="51" t="str">
        <f aca="false">IF(B$44=0,"",B45/B$44)</f>
        <v/>
      </c>
      <c r="I45" s="51" t="str">
        <f aca="false">IF(C$44=0,"",C45/C$44)</f>
        <v/>
      </c>
      <c r="J45" s="51" t="str">
        <f aca="false">IF(D$44=0,"",D45/D$44)</f>
        <v/>
      </c>
      <c r="K45" s="51" t="str">
        <f aca="false">IF(E$44=0,"",E45/E$44)</f>
        <v/>
      </c>
      <c r="L45" s="51" t="str">
        <f aca="false">IF(F$44=0,"",F45/F$44)</f>
        <v/>
      </c>
      <c r="M45" s="13" t="str">
        <f aca="false">IF(COUNT(H45:K45)&lt;2,"",MAX(H45:K45)-MIN(H45:K45))</f>
        <v/>
      </c>
      <c r="N45" s="52" t="s">
        <v>200</v>
      </c>
      <c r="O45" s="53" t="str">
        <f aca="false">IF(M45="","",M45+ROW()/1000000000)</f>
        <v/>
      </c>
      <c r="P45" s="52" t="str">
        <f aca="false">IF(M45="","",INDEX($A$5:$A$8,MATCH(MAX(H45:K45),H45:K45,0)))</f>
        <v/>
      </c>
      <c r="Q45" s="52" t="str">
        <f aca="false">IF(M45="","",INDEX($A$5:$A$8,MATCH(MIN(H45:K45),H45:K45,0)))</f>
        <v/>
      </c>
    </row>
    <row r="46" customFormat="false" ht="15" hidden="false" customHeight="false" outlineLevel="0" collapsed="false">
      <c r="A46" s="25" t="s">
        <v>113</v>
      </c>
      <c r="B46" s="11" t="n">
        <f aca="false">COUNTIFS(Responses!$D$2:$D$1000,$A46,Responses!$K$2:$K$1000,$A$5)</f>
        <v>0</v>
      </c>
      <c r="C46" s="11" t="n">
        <f aca="false">COUNTIFS(Responses!$D$2:$D$1000,$A46,Responses!$K$2:$K$1000,$A$6)</f>
        <v>0</v>
      </c>
      <c r="D46" s="11" t="n">
        <f aca="false">COUNTIFS(Responses!$D$2:$D$1000,$A46,Responses!$K$2:$K$1000,$A$7)</f>
        <v>0</v>
      </c>
      <c r="E46" s="11" t="n">
        <f aca="false">COUNTIFS(Responses!$D$2:$D$1000,$A46,Responses!$K$2:$K$1000,$A$8)</f>
        <v>0</v>
      </c>
      <c r="F46" s="11" t="n">
        <f aca="false">COUNTIF(Responses!$D$2:$D$1000,$A46)</f>
        <v>0</v>
      </c>
      <c r="H46" s="51" t="str">
        <f aca="false">IF(B$44=0,"",B46/B$44)</f>
        <v/>
      </c>
      <c r="I46" s="51" t="str">
        <f aca="false">IF(C$44=0,"",C46/C$44)</f>
        <v/>
      </c>
      <c r="J46" s="51" t="str">
        <f aca="false">IF(D$44=0,"",D46/D$44)</f>
        <v/>
      </c>
      <c r="K46" s="51" t="str">
        <f aca="false">IF(E$44=0,"",E46/E$44)</f>
        <v/>
      </c>
      <c r="L46" s="51" t="str">
        <f aca="false">IF(F$44=0,"",F46/F$44)</f>
        <v/>
      </c>
      <c r="M46" s="13" t="str">
        <f aca="false">IF(COUNT(H46:K46)&lt;2,"",MAX(H46:K46)-MIN(H46:K46))</f>
        <v/>
      </c>
      <c r="N46" s="52" t="s">
        <v>200</v>
      </c>
      <c r="O46" s="53" t="str">
        <f aca="false">IF(M46="","",M46+ROW()/1000000000)</f>
        <v/>
      </c>
      <c r="P46" s="52" t="str">
        <f aca="false">IF(M46="","",INDEX($A$5:$A$8,MATCH(MAX(H46:K46),H46:K46,0)))</f>
        <v/>
      </c>
      <c r="Q46" s="52" t="str">
        <f aca="false">IF(M46="","",INDEX($A$5:$A$8,MATCH(MIN(H46:K46),H46:K46,0)))</f>
        <v/>
      </c>
    </row>
    <row r="47" customFormat="false" ht="15" hidden="false" customHeight="false" outlineLevel="0" collapsed="false">
      <c r="A47" s="25" t="s">
        <v>114</v>
      </c>
      <c r="B47" s="11" t="n">
        <f aca="false">COUNTIFS(Responses!$D$2:$D$1000,$A47,Responses!$K$2:$K$1000,$A$5)</f>
        <v>0</v>
      </c>
      <c r="C47" s="11" t="n">
        <f aca="false">COUNTIFS(Responses!$D$2:$D$1000,$A47,Responses!$K$2:$K$1000,$A$6)</f>
        <v>0</v>
      </c>
      <c r="D47" s="11" t="n">
        <f aca="false">COUNTIFS(Responses!$D$2:$D$1000,$A47,Responses!$K$2:$K$1000,$A$7)</f>
        <v>0</v>
      </c>
      <c r="E47" s="11" t="n">
        <f aca="false">COUNTIFS(Responses!$D$2:$D$1000,$A47,Responses!$K$2:$K$1000,$A$8)</f>
        <v>0</v>
      </c>
      <c r="F47" s="11" t="n">
        <f aca="false">COUNTIF(Responses!$D$2:$D$1000,$A47)</f>
        <v>0</v>
      </c>
      <c r="H47" s="51" t="str">
        <f aca="false">IF(B$44=0,"",B47/B$44)</f>
        <v/>
      </c>
      <c r="I47" s="51" t="str">
        <f aca="false">IF(C$44=0,"",C47/C$44)</f>
        <v/>
      </c>
      <c r="J47" s="51" t="str">
        <f aca="false">IF(D$44=0,"",D47/D$44)</f>
        <v/>
      </c>
      <c r="K47" s="51" t="str">
        <f aca="false">IF(E$44=0,"",E47/E$44)</f>
        <v/>
      </c>
      <c r="L47" s="51" t="str">
        <f aca="false">IF(F$44=0,"",F47/F$44)</f>
        <v/>
      </c>
      <c r="M47" s="13" t="str">
        <f aca="false">IF(COUNT(H47:K47)&lt;2,"",MAX(H47:K47)-MIN(H47:K47))</f>
        <v/>
      </c>
      <c r="N47" s="52" t="s">
        <v>200</v>
      </c>
      <c r="O47" s="53" t="str">
        <f aca="false">IF(M47="","",M47+ROW()/1000000000)</f>
        <v/>
      </c>
      <c r="P47" s="52" t="str">
        <f aca="false">IF(M47="","",INDEX($A$5:$A$8,MATCH(MAX(H47:K47),H47:K47,0)))</f>
        <v/>
      </c>
      <c r="Q47" s="52" t="str">
        <f aca="false">IF(M47="","",INDEX($A$5:$A$8,MATCH(MIN(H47:K47),H47:K47,0)))</f>
        <v/>
      </c>
    </row>
    <row r="48" customFormat="false" ht="15" hidden="false" customHeight="false" outlineLevel="0" collapsed="false">
      <c r="A48" s="25" t="s">
        <v>39</v>
      </c>
      <c r="B48" s="11" t="n">
        <f aca="false">COUNTIFS(Responses!$D$2:$D$1000,$A48,Responses!$K$2:$K$1000,$A$5)</f>
        <v>0</v>
      </c>
      <c r="C48" s="11" t="n">
        <f aca="false">COUNTIFS(Responses!$D$2:$D$1000,$A48,Responses!$K$2:$K$1000,$A$6)</f>
        <v>0</v>
      </c>
      <c r="D48" s="11" t="n">
        <f aca="false">COUNTIFS(Responses!$D$2:$D$1000,$A48,Responses!$K$2:$K$1000,$A$7)</f>
        <v>0</v>
      </c>
      <c r="E48" s="11" t="n">
        <f aca="false">COUNTIFS(Responses!$D$2:$D$1000,$A48,Responses!$K$2:$K$1000,$A$8)</f>
        <v>0</v>
      </c>
      <c r="F48" s="11" t="n">
        <f aca="false">COUNTIF(Responses!$D$2:$D$1000,$A48)</f>
        <v>0</v>
      </c>
      <c r="H48" s="51" t="str">
        <f aca="false">IF(B$44=0,"",B48/B$44)</f>
        <v/>
      </c>
      <c r="I48" s="51" t="str">
        <f aca="false">IF(C$44=0,"",C48/C$44)</f>
        <v/>
      </c>
      <c r="J48" s="51" t="str">
        <f aca="false">IF(D$44=0,"",D48/D$44)</f>
        <v/>
      </c>
      <c r="K48" s="51" t="str">
        <f aca="false">IF(E$44=0,"",E48/E$44)</f>
        <v/>
      </c>
      <c r="L48" s="51" t="str">
        <f aca="false">IF(F$44=0,"",F48/F$44)</f>
        <v/>
      </c>
      <c r="M48" s="13" t="str">
        <f aca="false">IF(COUNT(H48:K48)&lt;2,"",MAX(H48:K48)-MIN(H48:K48))</f>
        <v/>
      </c>
      <c r="N48" s="52" t="s">
        <v>200</v>
      </c>
      <c r="O48" s="53" t="str">
        <f aca="false">IF(M48="","",M48+ROW()/1000000000)</f>
        <v/>
      </c>
      <c r="P48" s="52" t="str">
        <f aca="false">IF(M48="","",INDEX($A$5:$A$8,MATCH(MAX(H48:K48),H48:K48,0)))</f>
        <v/>
      </c>
      <c r="Q48" s="52" t="str">
        <f aca="false">IF(M48="","",INDEX($A$5:$A$8,MATCH(MIN(H48:K48),H48:K48,0)))</f>
        <v/>
      </c>
    </row>
    <row r="49" customFormat="false" ht="15" hidden="false" customHeight="false" outlineLevel="0" collapsed="false">
      <c r="A49" s="25" t="s">
        <v>115</v>
      </c>
      <c r="B49" s="11" t="n">
        <f aca="false">COUNTIFS(Responses!$D$2:$D$1000,$A49,Responses!$K$2:$K$1000,$A$5)</f>
        <v>0</v>
      </c>
      <c r="C49" s="11" t="n">
        <f aca="false">COUNTIFS(Responses!$D$2:$D$1000,$A49,Responses!$K$2:$K$1000,$A$6)</f>
        <v>0</v>
      </c>
      <c r="D49" s="11" t="n">
        <f aca="false">COUNTIFS(Responses!$D$2:$D$1000,$A49,Responses!$K$2:$K$1000,$A$7)</f>
        <v>0</v>
      </c>
      <c r="E49" s="11" t="n">
        <f aca="false">COUNTIFS(Responses!$D$2:$D$1000,$A49,Responses!$K$2:$K$1000,$A$8)</f>
        <v>0</v>
      </c>
      <c r="F49" s="11" t="n">
        <f aca="false">COUNTIF(Responses!$D$2:$D$1000,$A49)</f>
        <v>0</v>
      </c>
      <c r="H49" s="51" t="str">
        <f aca="false">IF(B$44=0,"",B49/B$44)</f>
        <v/>
      </c>
      <c r="I49" s="51" t="str">
        <f aca="false">IF(C$44=0,"",C49/C$44)</f>
        <v/>
      </c>
      <c r="J49" s="51" t="str">
        <f aca="false">IF(D$44=0,"",D49/D$44)</f>
        <v/>
      </c>
      <c r="K49" s="51" t="str">
        <f aca="false">IF(E$44=0,"",E49/E$44)</f>
        <v/>
      </c>
      <c r="L49" s="51" t="str">
        <f aca="false">IF(F$44=0,"",F49/F$44)</f>
        <v/>
      </c>
      <c r="M49" s="13" t="str">
        <f aca="false">IF(COUNT(H49:K49)&lt;2,"",MAX(H49:K49)-MIN(H49:K49))</f>
        <v/>
      </c>
      <c r="N49" s="52" t="s">
        <v>200</v>
      </c>
      <c r="O49" s="53" t="str">
        <f aca="false">IF(M49="","",M49+ROW()/1000000000)</f>
        <v/>
      </c>
      <c r="P49" s="52" t="str">
        <f aca="false">IF(M49="","",INDEX($A$5:$A$8,MATCH(MAX(H49:K49),H49:K49,0)))</f>
        <v/>
      </c>
      <c r="Q49" s="52" t="str">
        <f aca="false">IF(M49="","",INDEX($A$5:$A$8,MATCH(MIN(H49:K49),H49:K49,0)))</f>
        <v/>
      </c>
    </row>
    <row r="52" customFormat="false" ht="31.5" hidden="false" customHeight="true" outlineLevel="0" collapsed="false">
      <c r="A52" s="22" t="s">
        <v>81</v>
      </c>
      <c r="B52" s="4"/>
      <c r="C52" s="4"/>
      <c r="D52" s="4"/>
      <c r="E52" s="4"/>
      <c r="F52" s="4"/>
      <c r="G52" s="4"/>
      <c r="H52" s="4"/>
      <c r="I52" s="4"/>
      <c r="J52" s="4"/>
      <c r="K52" s="4"/>
      <c r="L52" s="4"/>
      <c r="M52" s="4"/>
    </row>
    <row r="53" customFormat="false" ht="23.85" hidden="false" customHeight="true" outlineLevel="0" collapsed="false">
      <c r="A53" s="23" t="s">
        <v>194</v>
      </c>
      <c r="B53" s="48" t="s">
        <v>99</v>
      </c>
      <c r="C53" s="48"/>
      <c r="D53" s="48"/>
      <c r="E53" s="48"/>
      <c r="F53" s="48"/>
      <c r="H53" s="48" t="s">
        <v>195</v>
      </c>
      <c r="I53" s="48"/>
      <c r="J53" s="48"/>
      <c r="K53" s="48"/>
      <c r="L53" s="48"/>
      <c r="M53" s="49" t="s">
        <v>196</v>
      </c>
    </row>
    <row r="54" customFormat="false" ht="37.5" hidden="false" customHeight="true" outlineLevel="0" collapsed="false">
      <c r="A54" s="50"/>
      <c r="B54" s="33" t="str">
        <f aca="false">$A$5</f>
        <v>Formal training</v>
      </c>
      <c r="C54" s="33" t="str">
        <f aca="false">$A$6</f>
        <v>Written policy or guidelines only</v>
      </c>
      <c r="D54" s="33" t="str">
        <f aca="false">$A$7</f>
        <v>Informal advice only</v>
      </c>
      <c r="E54" s="33" t="str">
        <f aca="false">$A$8</f>
        <v>No guidance at all</v>
      </c>
      <c r="F54" s="33" t="s">
        <v>197</v>
      </c>
      <c r="H54" s="33" t="str">
        <f aca="false">$A$5</f>
        <v>Formal training</v>
      </c>
      <c r="I54" s="33" t="str">
        <f aca="false">$A$6</f>
        <v>Written policy or guidelines only</v>
      </c>
      <c r="J54" s="33" t="str">
        <f aca="false">$A$7</f>
        <v>Informal advice only</v>
      </c>
      <c r="K54" s="33" t="str">
        <f aca="false">$A$8</f>
        <v>No guidance at all</v>
      </c>
      <c r="L54" s="33" t="s">
        <v>197</v>
      </c>
    </row>
    <row r="55" customFormat="false" ht="15" hidden="false" customHeight="false" outlineLevel="0" collapsed="false">
      <c r="A55" s="26" t="s">
        <v>198</v>
      </c>
      <c r="B55" s="27" t="n">
        <f aca="false">COUNTIFS(Responses!$K$2:$K$1000,$A$5,Responses!$E$2:$E$1000,"&lt;&gt;")</f>
        <v>0</v>
      </c>
      <c r="C55" s="27" t="n">
        <f aca="false">COUNTIFS(Responses!$K$2:$K$1000,$A$6,Responses!$E$2:$E$1000,"&lt;&gt;")</f>
        <v>0</v>
      </c>
      <c r="D55" s="27" t="n">
        <f aca="false">COUNTIFS(Responses!$K$2:$K$1000,$A$7,Responses!$E$2:$E$1000,"&lt;&gt;")</f>
        <v>0</v>
      </c>
      <c r="E55" s="27" t="n">
        <f aca="false">COUNTIFS(Responses!$K$2:$K$1000,$A$8,Responses!$E$2:$E$1000,"&lt;&gt;")</f>
        <v>0</v>
      </c>
      <c r="F55" s="27" t="n">
        <f aca="false">COUNTA(Responses!$E$2:$E$1000)</f>
        <v>0</v>
      </c>
    </row>
    <row r="56" customFormat="false" ht="15" hidden="false" customHeight="false" outlineLevel="0" collapsed="false">
      <c r="A56" s="25" t="s">
        <v>117</v>
      </c>
      <c r="B56" s="11" t="n">
        <f aca="false">COUNTIFS(Responses!$E$2:$E$1000,"*"&amp;$A56&amp;"*",Responses!$K$2:$K$1000,$A$5)</f>
        <v>0</v>
      </c>
      <c r="C56" s="11" t="n">
        <f aca="false">COUNTIFS(Responses!$E$2:$E$1000,"*"&amp;$A56&amp;"*",Responses!$K$2:$K$1000,$A$6)</f>
        <v>0</v>
      </c>
      <c r="D56" s="11" t="n">
        <f aca="false">COUNTIFS(Responses!$E$2:$E$1000,"*"&amp;$A56&amp;"*",Responses!$K$2:$K$1000,$A$7)</f>
        <v>0</v>
      </c>
      <c r="E56" s="11" t="n">
        <f aca="false">COUNTIFS(Responses!$E$2:$E$1000,"*"&amp;$A56&amp;"*",Responses!$K$2:$K$1000,$A$8)</f>
        <v>0</v>
      </c>
      <c r="F56" s="11" t="n">
        <f aca="false">COUNTIF(Responses!$E$2:$E$1000,"*"&amp;$A56&amp;"*")</f>
        <v>0</v>
      </c>
      <c r="H56" s="51" t="str">
        <f aca="false">IF(B$55=0,"",B56/B$55)</f>
        <v/>
      </c>
      <c r="I56" s="51" t="str">
        <f aca="false">IF(C$55=0,"",C56/C$55)</f>
        <v/>
      </c>
      <c r="J56" s="51" t="str">
        <f aca="false">IF(D$55=0,"",D56/D$55)</f>
        <v/>
      </c>
      <c r="K56" s="51" t="str">
        <f aca="false">IF(E$55=0,"",E56/E$55)</f>
        <v/>
      </c>
      <c r="L56" s="51" t="str">
        <f aca="false">IF(F$55=0,"",F56/F$55)</f>
        <v/>
      </c>
      <c r="M56" s="13" t="str">
        <f aca="false">IF(COUNT(H56:K56)&lt;2,"",MAX(H56:K56)-MIN(H56:K56))</f>
        <v/>
      </c>
      <c r="N56" s="52" t="s">
        <v>201</v>
      </c>
      <c r="O56" s="53" t="str">
        <f aca="false">IF(M56="","",M56+ROW()/1000000000)</f>
        <v/>
      </c>
      <c r="P56" s="52" t="str">
        <f aca="false">IF(M56="","",INDEX($A$5:$A$8,MATCH(MAX(H56:K56),H56:K56,0)))</f>
        <v/>
      </c>
      <c r="Q56" s="52" t="str">
        <f aca="false">IF(M56="","",INDEX($A$5:$A$8,MATCH(MIN(H56:K56),H56:K56,0)))</f>
        <v/>
      </c>
    </row>
    <row r="57" customFormat="false" ht="15" hidden="false" customHeight="false" outlineLevel="0" collapsed="false">
      <c r="A57" s="25" t="s">
        <v>118</v>
      </c>
      <c r="B57" s="11" t="n">
        <f aca="false">COUNTIFS(Responses!$E$2:$E$1000,"*"&amp;$A57&amp;"*",Responses!$K$2:$K$1000,$A$5)</f>
        <v>0</v>
      </c>
      <c r="C57" s="11" t="n">
        <f aca="false">COUNTIFS(Responses!$E$2:$E$1000,"*"&amp;$A57&amp;"*",Responses!$K$2:$K$1000,$A$6)</f>
        <v>0</v>
      </c>
      <c r="D57" s="11" t="n">
        <f aca="false">COUNTIFS(Responses!$E$2:$E$1000,"*"&amp;$A57&amp;"*",Responses!$K$2:$K$1000,$A$7)</f>
        <v>0</v>
      </c>
      <c r="E57" s="11" t="n">
        <f aca="false">COUNTIFS(Responses!$E$2:$E$1000,"*"&amp;$A57&amp;"*",Responses!$K$2:$K$1000,$A$8)</f>
        <v>0</v>
      </c>
      <c r="F57" s="11" t="n">
        <f aca="false">COUNTIF(Responses!$E$2:$E$1000,"*"&amp;$A57&amp;"*")</f>
        <v>0</v>
      </c>
      <c r="H57" s="51" t="str">
        <f aca="false">IF(B$55=0,"",B57/B$55)</f>
        <v/>
      </c>
      <c r="I57" s="51" t="str">
        <f aca="false">IF(C$55=0,"",C57/C$55)</f>
        <v/>
      </c>
      <c r="J57" s="51" t="str">
        <f aca="false">IF(D$55=0,"",D57/D$55)</f>
        <v/>
      </c>
      <c r="K57" s="51" t="str">
        <f aca="false">IF(E$55=0,"",E57/E$55)</f>
        <v/>
      </c>
      <c r="L57" s="51" t="str">
        <f aca="false">IF(F$55=0,"",F57/F$55)</f>
        <v/>
      </c>
      <c r="M57" s="13" t="str">
        <f aca="false">IF(COUNT(H57:K57)&lt;2,"",MAX(H57:K57)-MIN(H57:K57))</f>
        <v/>
      </c>
      <c r="N57" s="52" t="s">
        <v>201</v>
      </c>
      <c r="O57" s="53" t="str">
        <f aca="false">IF(M57="","",M57+ROW()/1000000000)</f>
        <v/>
      </c>
      <c r="P57" s="52" t="str">
        <f aca="false">IF(M57="","",INDEX($A$5:$A$8,MATCH(MAX(H57:K57),H57:K57,0)))</f>
        <v/>
      </c>
      <c r="Q57" s="52" t="str">
        <f aca="false">IF(M57="","",INDEX($A$5:$A$8,MATCH(MIN(H57:K57),H57:K57,0)))</f>
        <v/>
      </c>
    </row>
    <row r="58" customFormat="false" ht="15" hidden="false" customHeight="false" outlineLevel="0" collapsed="false">
      <c r="A58" s="25" t="s">
        <v>119</v>
      </c>
      <c r="B58" s="11" t="n">
        <f aca="false">COUNTIFS(Responses!$E$2:$E$1000,"*"&amp;$A58&amp;"*",Responses!$K$2:$K$1000,$A$5)</f>
        <v>0</v>
      </c>
      <c r="C58" s="11" t="n">
        <f aca="false">COUNTIFS(Responses!$E$2:$E$1000,"*"&amp;$A58&amp;"*",Responses!$K$2:$K$1000,$A$6)</f>
        <v>0</v>
      </c>
      <c r="D58" s="11" t="n">
        <f aca="false">COUNTIFS(Responses!$E$2:$E$1000,"*"&amp;$A58&amp;"*",Responses!$K$2:$K$1000,$A$7)</f>
        <v>0</v>
      </c>
      <c r="E58" s="11" t="n">
        <f aca="false">COUNTIFS(Responses!$E$2:$E$1000,"*"&amp;$A58&amp;"*",Responses!$K$2:$K$1000,$A$8)</f>
        <v>0</v>
      </c>
      <c r="F58" s="11" t="n">
        <f aca="false">COUNTIF(Responses!$E$2:$E$1000,"*"&amp;$A58&amp;"*")</f>
        <v>0</v>
      </c>
      <c r="H58" s="51" t="str">
        <f aca="false">IF(B$55=0,"",B58/B$55)</f>
        <v/>
      </c>
      <c r="I58" s="51" t="str">
        <f aca="false">IF(C$55=0,"",C58/C$55)</f>
        <v/>
      </c>
      <c r="J58" s="51" t="str">
        <f aca="false">IF(D$55=0,"",D58/D$55)</f>
        <v/>
      </c>
      <c r="K58" s="51" t="str">
        <f aca="false">IF(E$55=0,"",E58/E$55)</f>
        <v/>
      </c>
      <c r="L58" s="51" t="str">
        <f aca="false">IF(F$55=0,"",F58/F$55)</f>
        <v/>
      </c>
      <c r="M58" s="13" t="str">
        <f aca="false">IF(COUNT(H58:K58)&lt;2,"",MAX(H58:K58)-MIN(H58:K58))</f>
        <v/>
      </c>
      <c r="N58" s="52" t="s">
        <v>201</v>
      </c>
      <c r="O58" s="53" t="str">
        <f aca="false">IF(M58="","",M58+ROW()/1000000000)</f>
        <v/>
      </c>
      <c r="P58" s="52" t="str">
        <f aca="false">IF(M58="","",INDEX($A$5:$A$8,MATCH(MAX(H58:K58),H58:K58,0)))</f>
        <v/>
      </c>
      <c r="Q58" s="52" t="str">
        <f aca="false">IF(M58="","",INDEX($A$5:$A$8,MATCH(MIN(H58:K58),H58:K58,0)))</f>
        <v/>
      </c>
    </row>
    <row r="59" customFormat="false" ht="15" hidden="false" customHeight="false" outlineLevel="0" collapsed="false">
      <c r="A59" s="25" t="s">
        <v>120</v>
      </c>
      <c r="B59" s="11" t="n">
        <f aca="false">COUNTIFS(Responses!$E$2:$E$1000,"*"&amp;$A59&amp;"*",Responses!$K$2:$K$1000,$A$5)</f>
        <v>0</v>
      </c>
      <c r="C59" s="11" t="n">
        <f aca="false">COUNTIFS(Responses!$E$2:$E$1000,"*"&amp;$A59&amp;"*",Responses!$K$2:$K$1000,$A$6)</f>
        <v>0</v>
      </c>
      <c r="D59" s="11" t="n">
        <f aca="false">COUNTIFS(Responses!$E$2:$E$1000,"*"&amp;$A59&amp;"*",Responses!$K$2:$K$1000,$A$7)</f>
        <v>0</v>
      </c>
      <c r="E59" s="11" t="n">
        <f aca="false">COUNTIFS(Responses!$E$2:$E$1000,"*"&amp;$A59&amp;"*",Responses!$K$2:$K$1000,$A$8)</f>
        <v>0</v>
      </c>
      <c r="F59" s="11" t="n">
        <f aca="false">COUNTIF(Responses!$E$2:$E$1000,"*"&amp;$A59&amp;"*")</f>
        <v>0</v>
      </c>
      <c r="H59" s="51" t="str">
        <f aca="false">IF(B$55=0,"",B59/B$55)</f>
        <v/>
      </c>
      <c r="I59" s="51" t="str">
        <f aca="false">IF(C$55=0,"",C59/C$55)</f>
        <v/>
      </c>
      <c r="J59" s="51" t="str">
        <f aca="false">IF(D$55=0,"",D59/D$55)</f>
        <v/>
      </c>
      <c r="K59" s="51" t="str">
        <f aca="false">IF(E$55=0,"",E59/E$55)</f>
        <v/>
      </c>
      <c r="L59" s="51" t="str">
        <f aca="false">IF(F$55=0,"",F59/F$55)</f>
        <v/>
      </c>
      <c r="M59" s="13" t="str">
        <f aca="false">IF(COUNT(H59:K59)&lt;2,"",MAX(H59:K59)-MIN(H59:K59))</f>
        <v/>
      </c>
      <c r="N59" s="52" t="s">
        <v>201</v>
      </c>
      <c r="O59" s="53" t="str">
        <f aca="false">IF(M59="","",M59+ROW()/1000000000)</f>
        <v/>
      </c>
      <c r="P59" s="52" t="str">
        <f aca="false">IF(M59="","",INDEX($A$5:$A$8,MATCH(MAX(H59:K59),H59:K59,0)))</f>
        <v/>
      </c>
      <c r="Q59" s="52" t="str">
        <f aca="false">IF(M59="","",INDEX($A$5:$A$8,MATCH(MIN(H59:K59),H59:K59,0)))</f>
        <v/>
      </c>
    </row>
    <row r="60" customFormat="false" ht="15" hidden="false" customHeight="false" outlineLevel="0" collapsed="false">
      <c r="A60" s="25" t="s">
        <v>121</v>
      </c>
      <c r="B60" s="11" t="n">
        <f aca="false">COUNTIFS(Responses!$E$2:$E$1000,"*"&amp;$A60&amp;"*",Responses!$K$2:$K$1000,$A$5)</f>
        <v>0</v>
      </c>
      <c r="C60" s="11" t="n">
        <f aca="false">COUNTIFS(Responses!$E$2:$E$1000,"*"&amp;$A60&amp;"*",Responses!$K$2:$K$1000,$A$6)</f>
        <v>0</v>
      </c>
      <c r="D60" s="11" t="n">
        <f aca="false">COUNTIFS(Responses!$E$2:$E$1000,"*"&amp;$A60&amp;"*",Responses!$K$2:$K$1000,$A$7)</f>
        <v>0</v>
      </c>
      <c r="E60" s="11" t="n">
        <f aca="false">COUNTIFS(Responses!$E$2:$E$1000,"*"&amp;$A60&amp;"*",Responses!$K$2:$K$1000,$A$8)</f>
        <v>0</v>
      </c>
      <c r="F60" s="11" t="n">
        <f aca="false">COUNTIF(Responses!$E$2:$E$1000,"*"&amp;$A60&amp;"*")</f>
        <v>0</v>
      </c>
      <c r="H60" s="51" t="str">
        <f aca="false">IF(B$55=0,"",B60/B$55)</f>
        <v/>
      </c>
      <c r="I60" s="51" t="str">
        <f aca="false">IF(C$55=0,"",C60/C$55)</f>
        <v/>
      </c>
      <c r="J60" s="51" t="str">
        <f aca="false">IF(D$55=0,"",D60/D$55)</f>
        <v/>
      </c>
      <c r="K60" s="51" t="str">
        <f aca="false">IF(E$55=0,"",E60/E$55)</f>
        <v/>
      </c>
      <c r="L60" s="51" t="str">
        <f aca="false">IF(F$55=0,"",F60/F$55)</f>
        <v/>
      </c>
      <c r="M60" s="13" t="str">
        <f aca="false">IF(COUNT(H60:K60)&lt;2,"",MAX(H60:K60)-MIN(H60:K60))</f>
        <v/>
      </c>
      <c r="N60" s="52" t="s">
        <v>201</v>
      </c>
      <c r="O60" s="53" t="str">
        <f aca="false">IF(M60="","",M60+ROW()/1000000000)</f>
        <v/>
      </c>
      <c r="P60" s="52" t="str">
        <f aca="false">IF(M60="","",INDEX($A$5:$A$8,MATCH(MAX(H60:K60),H60:K60,0)))</f>
        <v/>
      </c>
      <c r="Q60" s="52" t="str">
        <f aca="false">IF(M60="","",INDEX($A$5:$A$8,MATCH(MIN(H60:K60),H60:K60,0)))</f>
        <v/>
      </c>
    </row>
    <row r="61" customFormat="false" ht="15" hidden="false" customHeight="false" outlineLevel="0" collapsed="false">
      <c r="A61" s="25" t="s">
        <v>122</v>
      </c>
      <c r="B61" s="11" t="n">
        <f aca="false">COUNTIFS(Responses!$E$2:$E$1000,"*"&amp;$A61&amp;"*",Responses!$K$2:$K$1000,$A$5)</f>
        <v>0</v>
      </c>
      <c r="C61" s="11" t="n">
        <f aca="false">COUNTIFS(Responses!$E$2:$E$1000,"*"&amp;$A61&amp;"*",Responses!$K$2:$K$1000,$A$6)</f>
        <v>0</v>
      </c>
      <c r="D61" s="11" t="n">
        <f aca="false">COUNTIFS(Responses!$E$2:$E$1000,"*"&amp;$A61&amp;"*",Responses!$K$2:$K$1000,$A$7)</f>
        <v>0</v>
      </c>
      <c r="E61" s="11" t="n">
        <f aca="false">COUNTIFS(Responses!$E$2:$E$1000,"*"&amp;$A61&amp;"*",Responses!$K$2:$K$1000,$A$8)</f>
        <v>0</v>
      </c>
      <c r="F61" s="11" t="n">
        <f aca="false">COUNTIF(Responses!$E$2:$E$1000,"*"&amp;$A61&amp;"*")</f>
        <v>0</v>
      </c>
      <c r="H61" s="51" t="str">
        <f aca="false">IF(B$55=0,"",B61/B$55)</f>
        <v/>
      </c>
      <c r="I61" s="51" t="str">
        <f aca="false">IF(C$55=0,"",C61/C$55)</f>
        <v/>
      </c>
      <c r="J61" s="51" t="str">
        <f aca="false">IF(D$55=0,"",D61/D$55)</f>
        <v/>
      </c>
      <c r="K61" s="51" t="str">
        <f aca="false">IF(E$55=0,"",E61/E$55)</f>
        <v/>
      </c>
      <c r="L61" s="51" t="str">
        <f aca="false">IF(F$55=0,"",F61/F$55)</f>
        <v/>
      </c>
      <c r="M61" s="13" t="str">
        <f aca="false">IF(COUNT(H61:K61)&lt;2,"",MAX(H61:K61)-MIN(H61:K61))</f>
        <v/>
      </c>
      <c r="N61" s="52" t="s">
        <v>201</v>
      </c>
      <c r="O61" s="53" t="str">
        <f aca="false">IF(M61="","",M61+ROW()/1000000000)</f>
        <v/>
      </c>
      <c r="P61" s="52" t="str">
        <f aca="false">IF(M61="","",INDEX($A$5:$A$8,MATCH(MAX(H61:K61),H61:K61,0)))</f>
        <v/>
      </c>
      <c r="Q61" s="52" t="str">
        <f aca="false">IF(M61="","",INDEX($A$5:$A$8,MATCH(MIN(H61:K61),H61:K61,0)))</f>
        <v/>
      </c>
    </row>
    <row r="62" customFormat="false" ht="15" hidden="false" customHeight="false" outlineLevel="0" collapsed="false">
      <c r="A62" s="25" t="s">
        <v>123</v>
      </c>
      <c r="B62" s="11" t="n">
        <f aca="false">COUNTIFS(Responses!$E$2:$E$1000,"*"&amp;$A62&amp;"*",Responses!$K$2:$K$1000,$A$5)</f>
        <v>0</v>
      </c>
      <c r="C62" s="11" t="n">
        <f aca="false">COUNTIFS(Responses!$E$2:$E$1000,"*"&amp;$A62&amp;"*",Responses!$K$2:$K$1000,$A$6)</f>
        <v>0</v>
      </c>
      <c r="D62" s="11" t="n">
        <f aca="false">COUNTIFS(Responses!$E$2:$E$1000,"*"&amp;$A62&amp;"*",Responses!$K$2:$K$1000,$A$7)</f>
        <v>0</v>
      </c>
      <c r="E62" s="11" t="n">
        <f aca="false">COUNTIFS(Responses!$E$2:$E$1000,"*"&amp;$A62&amp;"*",Responses!$K$2:$K$1000,$A$8)</f>
        <v>0</v>
      </c>
      <c r="F62" s="11" t="n">
        <f aca="false">COUNTIF(Responses!$E$2:$E$1000,"*"&amp;$A62&amp;"*")</f>
        <v>0</v>
      </c>
      <c r="H62" s="51" t="str">
        <f aca="false">IF(B$55=0,"",B62/B$55)</f>
        <v/>
      </c>
      <c r="I62" s="51" t="str">
        <f aca="false">IF(C$55=0,"",C62/C$55)</f>
        <v/>
      </c>
      <c r="J62" s="51" t="str">
        <f aca="false">IF(D$55=0,"",D62/D$55)</f>
        <v/>
      </c>
      <c r="K62" s="51" t="str">
        <f aca="false">IF(E$55=0,"",E62/E$55)</f>
        <v/>
      </c>
      <c r="L62" s="51" t="str">
        <f aca="false">IF(F$55=0,"",F62/F$55)</f>
        <v/>
      </c>
      <c r="M62" s="13" t="str">
        <f aca="false">IF(COUNT(H62:K62)&lt;2,"",MAX(H62:K62)-MIN(H62:K62))</f>
        <v/>
      </c>
      <c r="N62" s="52" t="s">
        <v>201</v>
      </c>
      <c r="O62" s="53" t="str">
        <f aca="false">IF(M62="","",M62+ROW()/1000000000)</f>
        <v/>
      </c>
      <c r="P62" s="52" t="str">
        <f aca="false">IF(M62="","",INDEX($A$5:$A$8,MATCH(MAX(H62:K62),H62:K62,0)))</f>
        <v/>
      </c>
      <c r="Q62" s="52" t="str">
        <f aca="false">IF(M62="","",INDEX($A$5:$A$8,MATCH(MIN(H62:K62),H62:K62,0)))</f>
        <v/>
      </c>
    </row>
    <row r="65" customFormat="false" ht="31.5" hidden="false" customHeight="true" outlineLevel="0" collapsed="false">
      <c r="A65" s="22" t="s">
        <v>82</v>
      </c>
      <c r="B65" s="4"/>
      <c r="C65" s="4"/>
      <c r="D65" s="4"/>
      <c r="E65" s="4"/>
      <c r="F65" s="4"/>
      <c r="G65" s="4"/>
      <c r="H65" s="4"/>
      <c r="I65" s="4"/>
      <c r="J65" s="4"/>
      <c r="K65" s="4"/>
      <c r="L65" s="4"/>
      <c r="M65" s="4"/>
    </row>
    <row r="66" customFormat="false" ht="23.85" hidden="false" customHeight="true" outlineLevel="0" collapsed="false">
      <c r="A66" s="23" t="s">
        <v>194</v>
      </c>
      <c r="B66" s="48" t="s">
        <v>99</v>
      </c>
      <c r="C66" s="48"/>
      <c r="D66" s="48"/>
      <c r="E66" s="48"/>
      <c r="F66" s="48"/>
      <c r="H66" s="48" t="s">
        <v>195</v>
      </c>
      <c r="I66" s="48"/>
      <c r="J66" s="48"/>
      <c r="K66" s="48"/>
      <c r="L66" s="48"/>
      <c r="M66" s="49" t="s">
        <v>196</v>
      </c>
    </row>
    <row r="67" customFormat="false" ht="37.5" hidden="false" customHeight="true" outlineLevel="0" collapsed="false">
      <c r="A67" s="50"/>
      <c r="B67" s="33" t="str">
        <f aca="false">$A$5</f>
        <v>Formal training</v>
      </c>
      <c r="C67" s="33" t="str">
        <f aca="false">$A$6</f>
        <v>Written policy or guidelines only</v>
      </c>
      <c r="D67" s="33" t="str">
        <f aca="false">$A$7</f>
        <v>Informal advice only</v>
      </c>
      <c r="E67" s="33" t="str">
        <f aca="false">$A$8</f>
        <v>No guidance at all</v>
      </c>
      <c r="F67" s="33" t="s">
        <v>197</v>
      </c>
      <c r="H67" s="33" t="str">
        <f aca="false">$A$5</f>
        <v>Formal training</v>
      </c>
      <c r="I67" s="33" t="str">
        <f aca="false">$A$6</f>
        <v>Written policy or guidelines only</v>
      </c>
      <c r="J67" s="33" t="str">
        <f aca="false">$A$7</f>
        <v>Informal advice only</v>
      </c>
      <c r="K67" s="33" t="str">
        <f aca="false">$A$8</f>
        <v>No guidance at all</v>
      </c>
      <c r="L67" s="33" t="s">
        <v>197</v>
      </c>
    </row>
    <row r="68" customFormat="false" ht="15" hidden="false" customHeight="false" outlineLevel="0" collapsed="false">
      <c r="A68" s="26" t="s">
        <v>198</v>
      </c>
      <c r="B68" s="27" t="n">
        <f aca="false">COUNTIFS(Responses!$K$2:$K$1000,$A$5,Responses!$F$2:$F$1000,"&lt;&gt;")</f>
        <v>0</v>
      </c>
      <c r="C68" s="27" t="n">
        <f aca="false">COUNTIFS(Responses!$K$2:$K$1000,$A$6,Responses!$F$2:$F$1000,"&lt;&gt;")</f>
        <v>0</v>
      </c>
      <c r="D68" s="27" t="n">
        <f aca="false">COUNTIFS(Responses!$K$2:$K$1000,$A$7,Responses!$F$2:$F$1000,"&lt;&gt;")</f>
        <v>0</v>
      </c>
      <c r="E68" s="27" t="n">
        <f aca="false">COUNTIFS(Responses!$K$2:$K$1000,$A$8,Responses!$F$2:$F$1000,"&lt;&gt;")</f>
        <v>0</v>
      </c>
      <c r="F68" s="27" t="n">
        <f aca="false">COUNTA(Responses!$F$2:$F$1000)</f>
        <v>0</v>
      </c>
    </row>
    <row r="69" customFormat="false" ht="15" hidden="false" customHeight="false" outlineLevel="0" collapsed="false">
      <c r="A69" s="25" t="s">
        <v>126</v>
      </c>
      <c r="B69" s="11" t="n">
        <f aca="false">COUNTIFS(Responses!$F$2:$F$1000,$A69,Responses!$K$2:$K$1000,$A$5)</f>
        <v>0</v>
      </c>
      <c r="C69" s="11" t="n">
        <f aca="false">COUNTIFS(Responses!$F$2:$F$1000,$A69,Responses!$K$2:$K$1000,$A$6)</f>
        <v>0</v>
      </c>
      <c r="D69" s="11" t="n">
        <f aca="false">COUNTIFS(Responses!$F$2:$F$1000,$A69,Responses!$K$2:$K$1000,$A$7)</f>
        <v>0</v>
      </c>
      <c r="E69" s="11" t="n">
        <f aca="false">COUNTIFS(Responses!$F$2:$F$1000,$A69,Responses!$K$2:$K$1000,$A$8)</f>
        <v>0</v>
      </c>
      <c r="F69" s="11" t="n">
        <f aca="false">COUNTIF(Responses!$F$2:$F$1000,$A69)</f>
        <v>0</v>
      </c>
      <c r="H69" s="51" t="str">
        <f aca="false">IF(B$68=0,"",B69/B$68)</f>
        <v/>
      </c>
      <c r="I69" s="51" t="str">
        <f aca="false">IF(C$68=0,"",C69/C$68)</f>
        <v/>
      </c>
      <c r="J69" s="51" t="str">
        <f aca="false">IF(D$68=0,"",D69/D$68)</f>
        <v/>
      </c>
      <c r="K69" s="51" t="str">
        <f aca="false">IF(E$68=0,"",E69/E$68)</f>
        <v/>
      </c>
      <c r="L69" s="51" t="str">
        <f aca="false">IF(F$68=0,"",F69/F$68)</f>
        <v/>
      </c>
      <c r="M69" s="13" t="str">
        <f aca="false">IF(COUNT(H69:K69)&lt;2,"",MAX(H69:K69)-MIN(H69:K69))</f>
        <v/>
      </c>
      <c r="N69" s="52" t="s">
        <v>202</v>
      </c>
      <c r="O69" s="53" t="str">
        <f aca="false">IF(M69="","",M69+ROW()/1000000000)</f>
        <v/>
      </c>
      <c r="P69" s="52" t="str">
        <f aca="false">IF(M69="","",INDEX($A$5:$A$8,MATCH(MAX(H69:K69),H69:K69,0)))</f>
        <v/>
      </c>
      <c r="Q69" s="52" t="str">
        <f aca="false">IF(M69="","",INDEX($A$5:$A$8,MATCH(MIN(H69:K69),H69:K69,0)))</f>
        <v/>
      </c>
    </row>
    <row r="70" customFormat="false" ht="15" hidden="false" customHeight="false" outlineLevel="0" collapsed="false">
      <c r="A70" s="25" t="s">
        <v>127</v>
      </c>
      <c r="B70" s="11" t="n">
        <f aca="false">COUNTIFS(Responses!$F$2:$F$1000,$A70,Responses!$K$2:$K$1000,$A$5)</f>
        <v>0</v>
      </c>
      <c r="C70" s="11" t="n">
        <f aca="false">COUNTIFS(Responses!$F$2:$F$1000,$A70,Responses!$K$2:$K$1000,$A$6)</f>
        <v>0</v>
      </c>
      <c r="D70" s="11" t="n">
        <f aca="false">COUNTIFS(Responses!$F$2:$F$1000,$A70,Responses!$K$2:$K$1000,$A$7)</f>
        <v>0</v>
      </c>
      <c r="E70" s="11" t="n">
        <f aca="false">COUNTIFS(Responses!$F$2:$F$1000,$A70,Responses!$K$2:$K$1000,$A$8)</f>
        <v>0</v>
      </c>
      <c r="F70" s="11" t="n">
        <f aca="false">COUNTIF(Responses!$F$2:$F$1000,$A70)</f>
        <v>0</v>
      </c>
      <c r="H70" s="51" t="str">
        <f aca="false">IF(B$68=0,"",B70/B$68)</f>
        <v/>
      </c>
      <c r="I70" s="51" t="str">
        <f aca="false">IF(C$68=0,"",C70/C$68)</f>
        <v/>
      </c>
      <c r="J70" s="51" t="str">
        <f aca="false">IF(D$68=0,"",D70/D$68)</f>
        <v/>
      </c>
      <c r="K70" s="51" t="str">
        <f aca="false">IF(E$68=0,"",E70/E$68)</f>
        <v/>
      </c>
      <c r="L70" s="51" t="str">
        <f aca="false">IF(F$68=0,"",F70/F$68)</f>
        <v/>
      </c>
      <c r="M70" s="13" t="str">
        <f aca="false">IF(COUNT(H70:K70)&lt;2,"",MAX(H70:K70)-MIN(H70:K70))</f>
        <v/>
      </c>
      <c r="N70" s="52" t="s">
        <v>202</v>
      </c>
      <c r="O70" s="53" t="str">
        <f aca="false">IF(M70="","",M70+ROW()/1000000000)</f>
        <v/>
      </c>
      <c r="P70" s="52" t="str">
        <f aca="false">IF(M70="","",INDEX($A$5:$A$8,MATCH(MAX(H70:K70),H70:K70,0)))</f>
        <v/>
      </c>
      <c r="Q70" s="52" t="str">
        <f aca="false">IF(M70="","",INDEX($A$5:$A$8,MATCH(MIN(H70:K70),H70:K70,0)))</f>
        <v/>
      </c>
    </row>
    <row r="71" customFormat="false" ht="15" hidden="false" customHeight="false" outlineLevel="0" collapsed="false">
      <c r="A71" s="25" t="s">
        <v>44</v>
      </c>
      <c r="B71" s="11" t="n">
        <f aca="false">COUNTIFS(Responses!$F$2:$F$1000,$A71,Responses!$K$2:$K$1000,$A$5)</f>
        <v>0</v>
      </c>
      <c r="C71" s="11" t="n">
        <f aca="false">COUNTIFS(Responses!$F$2:$F$1000,$A71,Responses!$K$2:$K$1000,$A$6)</f>
        <v>0</v>
      </c>
      <c r="D71" s="11" t="n">
        <f aca="false">COUNTIFS(Responses!$F$2:$F$1000,$A71,Responses!$K$2:$K$1000,$A$7)</f>
        <v>0</v>
      </c>
      <c r="E71" s="11" t="n">
        <f aca="false">COUNTIFS(Responses!$F$2:$F$1000,$A71,Responses!$K$2:$K$1000,$A$8)</f>
        <v>0</v>
      </c>
      <c r="F71" s="11" t="n">
        <f aca="false">COUNTIF(Responses!$F$2:$F$1000,$A71)</f>
        <v>0</v>
      </c>
      <c r="H71" s="51" t="str">
        <f aca="false">IF(B$68=0,"",B71/B$68)</f>
        <v/>
      </c>
      <c r="I71" s="51" t="str">
        <f aca="false">IF(C$68=0,"",C71/C$68)</f>
        <v/>
      </c>
      <c r="J71" s="51" t="str">
        <f aca="false">IF(D$68=0,"",D71/D$68)</f>
        <v/>
      </c>
      <c r="K71" s="51" t="str">
        <f aca="false">IF(E$68=0,"",E71/E$68)</f>
        <v/>
      </c>
      <c r="L71" s="51" t="str">
        <f aca="false">IF(F$68=0,"",F71/F$68)</f>
        <v/>
      </c>
      <c r="M71" s="13" t="str">
        <f aca="false">IF(COUNT(H71:K71)&lt;2,"",MAX(H71:K71)-MIN(H71:K71))</f>
        <v/>
      </c>
      <c r="N71" s="52" t="s">
        <v>202</v>
      </c>
      <c r="O71" s="53" t="str">
        <f aca="false">IF(M71="","",M71+ROW()/1000000000)</f>
        <v/>
      </c>
      <c r="P71" s="52" t="str">
        <f aca="false">IF(M71="","",INDEX($A$5:$A$8,MATCH(MAX(H71:K71),H71:K71,0)))</f>
        <v/>
      </c>
      <c r="Q71" s="52" t="str">
        <f aca="false">IF(M71="","",INDEX($A$5:$A$8,MATCH(MIN(H71:K71),H71:K71,0)))</f>
        <v/>
      </c>
    </row>
    <row r="72" customFormat="false" ht="15" hidden="false" customHeight="false" outlineLevel="0" collapsed="false">
      <c r="A72" s="25" t="s">
        <v>128</v>
      </c>
      <c r="B72" s="11" t="n">
        <f aca="false">COUNTIFS(Responses!$F$2:$F$1000,$A72,Responses!$K$2:$K$1000,$A$5)</f>
        <v>0</v>
      </c>
      <c r="C72" s="11" t="n">
        <f aca="false">COUNTIFS(Responses!$F$2:$F$1000,$A72,Responses!$K$2:$K$1000,$A$6)</f>
        <v>0</v>
      </c>
      <c r="D72" s="11" t="n">
        <f aca="false">COUNTIFS(Responses!$F$2:$F$1000,$A72,Responses!$K$2:$K$1000,$A$7)</f>
        <v>0</v>
      </c>
      <c r="E72" s="11" t="n">
        <f aca="false">COUNTIFS(Responses!$F$2:$F$1000,$A72,Responses!$K$2:$K$1000,$A$8)</f>
        <v>0</v>
      </c>
      <c r="F72" s="11" t="n">
        <f aca="false">COUNTIF(Responses!$F$2:$F$1000,$A72)</f>
        <v>0</v>
      </c>
      <c r="H72" s="51" t="str">
        <f aca="false">IF(B$68=0,"",B72/B$68)</f>
        <v/>
      </c>
      <c r="I72" s="51" t="str">
        <f aca="false">IF(C$68=0,"",C72/C$68)</f>
        <v/>
      </c>
      <c r="J72" s="51" t="str">
        <f aca="false">IF(D$68=0,"",D72/D$68)</f>
        <v/>
      </c>
      <c r="K72" s="51" t="str">
        <f aca="false">IF(E$68=0,"",E72/E$68)</f>
        <v/>
      </c>
      <c r="L72" s="51" t="str">
        <f aca="false">IF(F$68=0,"",F72/F$68)</f>
        <v/>
      </c>
      <c r="M72" s="13" t="str">
        <f aca="false">IF(COUNT(H72:K72)&lt;2,"",MAX(H72:K72)-MIN(H72:K72))</f>
        <v/>
      </c>
      <c r="N72" s="52" t="s">
        <v>202</v>
      </c>
      <c r="O72" s="53" t="str">
        <f aca="false">IF(M72="","",M72+ROW()/1000000000)</f>
        <v/>
      </c>
      <c r="P72" s="52" t="str">
        <f aca="false">IF(M72="","",INDEX($A$5:$A$8,MATCH(MAX(H72:K72),H72:K72,0)))</f>
        <v/>
      </c>
      <c r="Q72" s="52" t="str">
        <f aca="false">IF(M72="","",INDEX($A$5:$A$8,MATCH(MIN(H72:K72),H72:K72,0)))</f>
        <v/>
      </c>
    </row>
    <row r="73" customFormat="false" ht="15" hidden="false" customHeight="false" outlineLevel="0" collapsed="false">
      <c r="A73" s="25" t="s">
        <v>129</v>
      </c>
      <c r="B73" s="11" t="n">
        <f aca="false">COUNTIFS(Responses!$F$2:$F$1000,$A73,Responses!$K$2:$K$1000,$A$5)</f>
        <v>0</v>
      </c>
      <c r="C73" s="11" t="n">
        <f aca="false">COUNTIFS(Responses!$F$2:$F$1000,$A73,Responses!$K$2:$K$1000,$A$6)</f>
        <v>0</v>
      </c>
      <c r="D73" s="11" t="n">
        <f aca="false">COUNTIFS(Responses!$F$2:$F$1000,$A73,Responses!$K$2:$K$1000,$A$7)</f>
        <v>0</v>
      </c>
      <c r="E73" s="11" t="n">
        <f aca="false">COUNTIFS(Responses!$F$2:$F$1000,$A73,Responses!$K$2:$K$1000,$A$8)</f>
        <v>0</v>
      </c>
      <c r="F73" s="11" t="n">
        <f aca="false">COUNTIF(Responses!$F$2:$F$1000,$A73)</f>
        <v>0</v>
      </c>
      <c r="H73" s="51" t="str">
        <f aca="false">IF(B$68=0,"",B73/B$68)</f>
        <v/>
      </c>
      <c r="I73" s="51" t="str">
        <f aca="false">IF(C$68=0,"",C73/C$68)</f>
        <v/>
      </c>
      <c r="J73" s="51" t="str">
        <f aca="false">IF(D$68=0,"",D73/D$68)</f>
        <v/>
      </c>
      <c r="K73" s="51" t="str">
        <f aca="false">IF(E$68=0,"",E73/E$68)</f>
        <v/>
      </c>
      <c r="L73" s="51" t="str">
        <f aca="false">IF(F$68=0,"",F73/F$68)</f>
        <v/>
      </c>
      <c r="M73" s="13" t="str">
        <f aca="false">IF(COUNT(H73:K73)&lt;2,"",MAX(H73:K73)-MIN(H73:K73))</f>
        <v/>
      </c>
      <c r="N73" s="52" t="s">
        <v>202</v>
      </c>
      <c r="O73" s="53" t="str">
        <f aca="false">IF(M73="","",M73+ROW()/1000000000)</f>
        <v/>
      </c>
      <c r="P73" s="52" t="str">
        <f aca="false">IF(M73="","",INDEX($A$5:$A$8,MATCH(MAX(H73:K73),H73:K73,0)))</f>
        <v/>
      </c>
      <c r="Q73" s="52" t="str">
        <f aca="false">IF(M73="","",INDEX($A$5:$A$8,MATCH(MIN(H73:K73),H73:K73,0)))</f>
        <v/>
      </c>
    </row>
    <row r="76" customFormat="false" ht="31.5" hidden="false" customHeight="true" outlineLevel="0" collapsed="false">
      <c r="A76" s="22" t="s">
        <v>130</v>
      </c>
      <c r="B76" s="4"/>
      <c r="C76" s="4"/>
      <c r="D76" s="4"/>
      <c r="E76" s="4"/>
      <c r="F76" s="4"/>
      <c r="G76" s="4"/>
      <c r="H76" s="4"/>
      <c r="I76" s="4"/>
      <c r="J76" s="4"/>
      <c r="K76" s="4"/>
      <c r="L76" s="4"/>
      <c r="M76" s="4"/>
    </row>
    <row r="77" customFormat="false" ht="23.85" hidden="false" customHeight="true" outlineLevel="0" collapsed="false">
      <c r="A77" s="23" t="s">
        <v>194</v>
      </c>
      <c r="B77" s="48" t="s">
        <v>99</v>
      </c>
      <c r="C77" s="48"/>
      <c r="D77" s="48"/>
      <c r="E77" s="48"/>
      <c r="F77" s="48"/>
      <c r="H77" s="48" t="s">
        <v>195</v>
      </c>
      <c r="I77" s="48"/>
      <c r="J77" s="48"/>
      <c r="K77" s="48"/>
      <c r="L77" s="48"/>
      <c r="M77" s="49" t="s">
        <v>196</v>
      </c>
    </row>
    <row r="78" customFormat="false" ht="37.5" hidden="false" customHeight="true" outlineLevel="0" collapsed="false">
      <c r="A78" s="50"/>
      <c r="B78" s="33" t="str">
        <f aca="false">$A$5</f>
        <v>Formal training</v>
      </c>
      <c r="C78" s="33" t="str">
        <f aca="false">$A$6</f>
        <v>Written policy or guidelines only</v>
      </c>
      <c r="D78" s="33" t="str">
        <f aca="false">$A$7</f>
        <v>Informal advice only</v>
      </c>
      <c r="E78" s="33" t="str">
        <f aca="false">$A$8</f>
        <v>No guidance at all</v>
      </c>
      <c r="F78" s="33" t="s">
        <v>197</v>
      </c>
      <c r="H78" s="33" t="str">
        <f aca="false">$A$5</f>
        <v>Formal training</v>
      </c>
      <c r="I78" s="33" t="str">
        <f aca="false">$A$6</f>
        <v>Written policy or guidelines only</v>
      </c>
      <c r="J78" s="33" t="str">
        <f aca="false">$A$7</f>
        <v>Informal advice only</v>
      </c>
      <c r="K78" s="33" t="str">
        <f aca="false">$A$8</f>
        <v>No guidance at all</v>
      </c>
      <c r="L78" s="33" t="s">
        <v>197</v>
      </c>
    </row>
    <row r="79" customFormat="false" ht="15" hidden="false" customHeight="false" outlineLevel="0" collapsed="false">
      <c r="A79" s="26" t="s">
        <v>198</v>
      </c>
      <c r="B79" s="27" t="n">
        <f aca="false">COUNTIFS(Responses!$K$2:$K$1000,$A$5,Responses!$G$2:$G$1000,"&lt;&gt;")</f>
        <v>0</v>
      </c>
      <c r="C79" s="27" t="n">
        <f aca="false">COUNTIFS(Responses!$K$2:$K$1000,$A$6,Responses!$G$2:$G$1000,"&lt;&gt;")</f>
        <v>0</v>
      </c>
      <c r="D79" s="27" t="n">
        <f aca="false">COUNTIFS(Responses!$K$2:$K$1000,$A$7,Responses!$G$2:$G$1000,"&lt;&gt;")</f>
        <v>0</v>
      </c>
      <c r="E79" s="27" t="n">
        <f aca="false">COUNTIFS(Responses!$K$2:$K$1000,$A$8,Responses!$G$2:$G$1000,"&lt;&gt;")</f>
        <v>0</v>
      </c>
      <c r="F79" s="27" t="n">
        <f aca="false">COUNTA(Responses!$G$2:$G$1000)</f>
        <v>0</v>
      </c>
    </row>
    <row r="80" customFormat="false" ht="25.5" hidden="false" customHeight="true" outlineLevel="0" collapsed="false">
      <c r="A80" s="44" t="s">
        <v>203</v>
      </c>
      <c r="B80" s="11" t="n">
        <f aca="false">COUNTIFS(Responses!$G$2:$G$1000,"Agree",Responses!$K$2:$K$1000,$A$5)+COUNTIFS(Responses!$G$2:$G$1000,"Strongly agree",Responses!$K$2:$K$1000,$A$5)</f>
        <v>0</v>
      </c>
      <c r="C80" s="11" t="n">
        <f aca="false">COUNTIFS(Responses!$G$2:$G$1000,"Agree",Responses!$K$2:$K$1000,$A$6)+COUNTIFS(Responses!$G$2:$G$1000,"Strongly agree",Responses!$K$2:$K$1000,$A$6)</f>
        <v>0</v>
      </c>
      <c r="D80" s="11" t="n">
        <f aca="false">COUNTIFS(Responses!$G$2:$G$1000,"Agree",Responses!$K$2:$K$1000,$A$7)+COUNTIFS(Responses!$G$2:$G$1000,"Strongly agree",Responses!$K$2:$K$1000,$A$7)</f>
        <v>0</v>
      </c>
      <c r="E80" s="11" t="n">
        <f aca="false">COUNTIFS(Responses!$G$2:$G$1000,"Agree",Responses!$K$2:$K$1000,$A$8)+COUNTIFS(Responses!$G$2:$G$1000,"Strongly agree",Responses!$K$2:$K$1000,$A$8)</f>
        <v>0</v>
      </c>
      <c r="F80" s="11" t="n">
        <f aca="false">COUNTIF(Responses!$G$2:$G$1000,"Agree")+COUNTIF(Responses!$G$2:$G$1000,"Strongly agree")</f>
        <v>0</v>
      </c>
      <c r="H80" s="51" t="str">
        <f aca="false">IF(B$79=0,"",B80/B$79)</f>
        <v/>
      </c>
      <c r="I80" s="51" t="str">
        <f aca="false">IF(C$79=0,"",C80/C$79)</f>
        <v/>
      </c>
      <c r="J80" s="51" t="str">
        <f aca="false">IF(D$79=0,"",D80/D$79)</f>
        <v/>
      </c>
      <c r="K80" s="51" t="str">
        <f aca="false">IF(E$79=0,"",E80/E$79)</f>
        <v/>
      </c>
      <c r="L80" s="51" t="str">
        <f aca="false">IF(F$79=0,"",F80/F$79)</f>
        <v/>
      </c>
      <c r="M80" s="13" t="str">
        <f aca="false">IF(COUNT(H80:K80)&lt;2,"",MAX(H80:K80)-MIN(H80:K80))</f>
        <v/>
      </c>
      <c r="N80" s="52" t="s">
        <v>204</v>
      </c>
      <c r="O80" s="53" t="str">
        <f aca="false">IF(M80="","",M80+ROW()/1000000000)</f>
        <v/>
      </c>
      <c r="P80" s="52" t="str">
        <f aca="false">IF(M80="","",INDEX($A$5:$A$8,MATCH(MAX(H80:K80),H80:K80,0)))</f>
        <v/>
      </c>
      <c r="Q80" s="52" t="str">
        <f aca="false">IF(M80="","",INDEX($A$5:$A$8,MATCH(MIN(H80:K80),H80:K80,0)))</f>
        <v/>
      </c>
    </row>
    <row r="81" customFormat="false" ht="25.5" hidden="false" customHeight="true" outlineLevel="0" collapsed="false">
      <c r="A81" s="44" t="s">
        <v>205</v>
      </c>
      <c r="B81" s="11" t="n">
        <f aca="false">COUNTIFS(Responses!$H$2:$H$1000,"Agree",Responses!$K$2:$K$1000,$A$5)+COUNTIFS(Responses!$H$2:$H$1000,"Strongly agree",Responses!$K$2:$K$1000,$A$5)</f>
        <v>0</v>
      </c>
      <c r="C81" s="11" t="n">
        <f aca="false">COUNTIFS(Responses!$H$2:$H$1000,"Agree",Responses!$K$2:$K$1000,$A$6)+COUNTIFS(Responses!$H$2:$H$1000,"Strongly agree",Responses!$K$2:$K$1000,$A$6)</f>
        <v>0</v>
      </c>
      <c r="D81" s="11" t="n">
        <f aca="false">COUNTIFS(Responses!$H$2:$H$1000,"Agree",Responses!$K$2:$K$1000,$A$7)+COUNTIFS(Responses!$H$2:$H$1000,"Strongly agree",Responses!$K$2:$K$1000,$A$7)</f>
        <v>0</v>
      </c>
      <c r="E81" s="11" t="n">
        <f aca="false">COUNTIFS(Responses!$H$2:$H$1000,"Agree",Responses!$K$2:$K$1000,$A$8)+COUNTIFS(Responses!$H$2:$H$1000,"Strongly agree",Responses!$K$2:$K$1000,$A$8)</f>
        <v>0</v>
      </c>
      <c r="F81" s="11" t="n">
        <f aca="false">COUNTIF(Responses!$H$2:$H$1000,"Agree")+COUNTIF(Responses!$H$2:$H$1000,"Strongly agree")</f>
        <v>0</v>
      </c>
      <c r="H81" s="51" t="str">
        <f aca="false">IF(B$79=0,"",B81/B$79)</f>
        <v/>
      </c>
      <c r="I81" s="51" t="str">
        <f aca="false">IF(C$79=0,"",C81/C$79)</f>
        <v/>
      </c>
      <c r="J81" s="51" t="str">
        <f aca="false">IF(D$79=0,"",D81/D$79)</f>
        <v/>
      </c>
      <c r="K81" s="51" t="str">
        <f aca="false">IF(E$79=0,"",E81/E$79)</f>
        <v/>
      </c>
      <c r="L81" s="51" t="str">
        <f aca="false">IF(F$79=0,"",F81/F$79)</f>
        <v/>
      </c>
      <c r="M81" s="13" t="str">
        <f aca="false">IF(COUNT(H81:K81)&lt;2,"",MAX(H81:K81)-MIN(H81:K81))</f>
        <v/>
      </c>
      <c r="N81" s="52" t="s">
        <v>204</v>
      </c>
      <c r="O81" s="53" t="str">
        <f aca="false">IF(M81="","",M81+ROW()/1000000000)</f>
        <v/>
      </c>
      <c r="P81" s="52" t="str">
        <f aca="false">IF(M81="","",INDEX($A$5:$A$8,MATCH(MAX(H81:K81),H81:K81,0)))</f>
        <v/>
      </c>
      <c r="Q81" s="52" t="str">
        <f aca="false">IF(M81="","",INDEX($A$5:$A$8,MATCH(MIN(H81:K81),H81:K81,0)))</f>
        <v/>
      </c>
    </row>
    <row r="82" customFormat="false" ht="25.5" hidden="false" customHeight="true" outlineLevel="0" collapsed="false">
      <c r="A82" s="44" t="s">
        <v>206</v>
      </c>
      <c r="B82" s="11" t="n">
        <f aca="false">COUNTIFS(Responses!$I$2:$I$1000,"Agree",Responses!$K$2:$K$1000,$A$5)+COUNTIFS(Responses!$I$2:$I$1000,"Strongly agree",Responses!$K$2:$K$1000,$A$5)</f>
        <v>0</v>
      </c>
      <c r="C82" s="11" t="n">
        <f aca="false">COUNTIFS(Responses!$I$2:$I$1000,"Agree",Responses!$K$2:$K$1000,$A$6)+COUNTIFS(Responses!$I$2:$I$1000,"Strongly agree",Responses!$K$2:$K$1000,$A$6)</f>
        <v>0</v>
      </c>
      <c r="D82" s="11" t="n">
        <f aca="false">COUNTIFS(Responses!$I$2:$I$1000,"Agree",Responses!$K$2:$K$1000,$A$7)+COUNTIFS(Responses!$I$2:$I$1000,"Strongly agree",Responses!$K$2:$K$1000,$A$7)</f>
        <v>0</v>
      </c>
      <c r="E82" s="11" t="n">
        <f aca="false">COUNTIFS(Responses!$I$2:$I$1000,"Agree",Responses!$K$2:$K$1000,$A$8)+COUNTIFS(Responses!$I$2:$I$1000,"Strongly agree",Responses!$K$2:$K$1000,$A$8)</f>
        <v>0</v>
      </c>
      <c r="F82" s="11" t="n">
        <f aca="false">COUNTIF(Responses!$I$2:$I$1000,"Agree")+COUNTIF(Responses!$I$2:$I$1000,"Strongly agree")</f>
        <v>0</v>
      </c>
      <c r="H82" s="51" t="str">
        <f aca="false">IF(B$79=0,"",B82/B$79)</f>
        <v/>
      </c>
      <c r="I82" s="51" t="str">
        <f aca="false">IF(C$79=0,"",C82/C$79)</f>
        <v/>
      </c>
      <c r="J82" s="51" t="str">
        <f aca="false">IF(D$79=0,"",D82/D$79)</f>
        <v/>
      </c>
      <c r="K82" s="51" t="str">
        <f aca="false">IF(E$79=0,"",E82/E$79)</f>
        <v/>
      </c>
      <c r="L82" s="51" t="str">
        <f aca="false">IF(F$79=0,"",F82/F$79)</f>
        <v/>
      </c>
      <c r="M82" s="13" t="str">
        <f aca="false">IF(COUNT(H82:K82)&lt;2,"",MAX(H82:K82)-MIN(H82:K82))</f>
        <v/>
      </c>
      <c r="N82" s="52" t="s">
        <v>204</v>
      </c>
      <c r="O82" s="53" t="str">
        <f aca="false">IF(M82="","",M82+ROW()/1000000000)</f>
        <v/>
      </c>
      <c r="P82" s="52" t="str">
        <f aca="false">IF(M82="","",INDEX($A$5:$A$8,MATCH(MAX(H82:K82),H82:K82,0)))</f>
        <v/>
      </c>
      <c r="Q82" s="52" t="str">
        <f aca="false">IF(M82="","",INDEX($A$5:$A$8,MATCH(MIN(H82:K82),H82:K82,0)))</f>
        <v/>
      </c>
    </row>
    <row r="85" customFormat="false" ht="31.5" hidden="false" customHeight="true" outlineLevel="0" collapsed="false">
      <c r="A85" s="22" t="s">
        <v>86</v>
      </c>
      <c r="B85" s="4"/>
      <c r="C85" s="4"/>
      <c r="D85" s="4"/>
      <c r="E85" s="4"/>
      <c r="F85" s="4"/>
      <c r="G85" s="4"/>
      <c r="H85" s="4"/>
      <c r="I85" s="4"/>
      <c r="J85" s="4"/>
      <c r="K85" s="4"/>
      <c r="L85" s="4"/>
      <c r="M85" s="4"/>
    </row>
    <row r="86" customFormat="false" ht="23.85" hidden="false" customHeight="true" outlineLevel="0" collapsed="false">
      <c r="A86" s="23" t="s">
        <v>194</v>
      </c>
      <c r="B86" s="48" t="s">
        <v>99</v>
      </c>
      <c r="C86" s="48"/>
      <c r="D86" s="48"/>
      <c r="E86" s="48"/>
      <c r="F86" s="48"/>
      <c r="H86" s="48" t="s">
        <v>195</v>
      </c>
      <c r="I86" s="48"/>
      <c r="J86" s="48"/>
      <c r="K86" s="48"/>
      <c r="L86" s="48"/>
      <c r="M86" s="49" t="s">
        <v>196</v>
      </c>
    </row>
    <row r="87" customFormat="false" ht="37.5" hidden="false" customHeight="true" outlineLevel="0" collapsed="false">
      <c r="A87" s="50"/>
      <c r="B87" s="33" t="str">
        <f aca="false">$A$5</f>
        <v>Formal training</v>
      </c>
      <c r="C87" s="33" t="str">
        <f aca="false">$A$6</f>
        <v>Written policy or guidelines only</v>
      </c>
      <c r="D87" s="33" t="str">
        <f aca="false">$A$7</f>
        <v>Informal advice only</v>
      </c>
      <c r="E87" s="33" t="str">
        <f aca="false">$A$8</f>
        <v>No guidance at all</v>
      </c>
      <c r="F87" s="33" t="s">
        <v>197</v>
      </c>
      <c r="H87" s="33" t="str">
        <f aca="false">$A$5</f>
        <v>Formal training</v>
      </c>
      <c r="I87" s="33" t="str">
        <f aca="false">$A$6</f>
        <v>Written policy or guidelines only</v>
      </c>
      <c r="J87" s="33" t="str">
        <f aca="false">$A$7</f>
        <v>Informal advice only</v>
      </c>
      <c r="K87" s="33" t="str">
        <f aca="false">$A$8</f>
        <v>No guidance at all</v>
      </c>
      <c r="L87" s="33" t="s">
        <v>197</v>
      </c>
    </row>
    <row r="88" customFormat="false" ht="15" hidden="false" customHeight="false" outlineLevel="0" collapsed="false">
      <c r="A88" s="26" t="s">
        <v>198</v>
      </c>
      <c r="B88" s="27" t="n">
        <f aca="false">COUNTIFS(Responses!$K$2:$K$1000,$A$5,Responses!$J$2:$J$1000,"&lt;&gt;")</f>
        <v>0</v>
      </c>
      <c r="C88" s="27" t="n">
        <f aca="false">COUNTIFS(Responses!$K$2:$K$1000,$A$6,Responses!$J$2:$J$1000,"&lt;&gt;")</f>
        <v>0</v>
      </c>
      <c r="D88" s="27" t="n">
        <f aca="false">COUNTIFS(Responses!$K$2:$K$1000,$A$7,Responses!$J$2:$J$1000,"&lt;&gt;")</f>
        <v>0</v>
      </c>
      <c r="E88" s="27" t="n">
        <f aca="false">COUNTIFS(Responses!$K$2:$K$1000,$A$8,Responses!$J$2:$J$1000,"&lt;&gt;")</f>
        <v>0</v>
      </c>
      <c r="F88" s="27" t="n">
        <f aca="false">COUNTA(Responses!$J$2:$J$1000)</f>
        <v>0</v>
      </c>
    </row>
    <row r="89" customFormat="false" ht="15" hidden="false" customHeight="false" outlineLevel="0" collapsed="false">
      <c r="A89" s="25" t="s">
        <v>207</v>
      </c>
      <c r="B89" s="11" t="n">
        <f aca="false">COUNTIFS(Responses!$J$2:$J$1000,"&gt;=4",Responses!$K$2:$K$1000,$A$5)</f>
        <v>0</v>
      </c>
      <c r="C89" s="11" t="n">
        <f aca="false">COUNTIFS(Responses!$J$2:$J$1000,"&gt;=4",Responses!$K$2:$K$1000,$A$6)</f>
        <v>0</v>
      </c>
      <c r="D89" s="11" t="n">
        <f aca="false">COUNTIFS(Responses!$J$2:$J$1000,"&gt;=4",Responses!$K$2:$K$1000,$A$7)</f>
        <v>0</v>
      </c>
      <c r="E89" s="11" t="n">
        <f aca="false">COUNTIFS(Responses!$J$2:$J$1000,"&gt;=4",Responses!$K$2:$K$1000,$A$8)</f>
        <v>0</v>
      </c>
      <c r="F89" s="11" t="n">
        <f aca="false">COUNTIF(Responses!$J$2:$J$1000,"&gt;=4")</f>
        <v>0</v>
      </c>
      <c r="H89" s="51" t="str">
        <f aca="false">IF(B$88=0,"",B89/B$88)</f>
        <v/>
      </c>
      <c r="I89" s="51" t="str">
        <f aca="false">IF(C$88=0,"",C89/C$88)</f>
        <v/>
      </c>
      <c r="J89" s="51" t="str">
        <f aca="false">IF(D$88=0,"",D89/D$88)</f>
        <v/>
      </c>
      <c r="K89" s="51" t="str">
        <f aca="false">IF(E$88=0,"",E89/E$88)</f>
        <v/>
      </c>
      <c r="L89" s="51" t="str">
        <f aca="false">IF(F$88=0,"",F89/F$88)</f>
        <v/>
      </c>
      <c r="M89" s="13" t="str">
        <f aca="false">IF(COUNT(H89:K89)&lt;2,"",MAX(H89:K89)-MIN(H89:K89))</f>
        <v/>
      </c>
      <c r="N89" s="52" t="s">
        <v>208</v>
      </c>
      <c r="O89" s="53" t="str">
        <f aca="false">IF(M89="","",M89+ROW()/1000000000)</f>
        <v/>
      </c>
      <c r="P89" s="52" t="str">
        <f aca="false">IF(M89="","",INDEX($A$5:$A$8,MATCH(MAX(H89:K89),H89:K89,0)))</f>
        <v/>
      </c>
      <c r="Q89" s="52" t="str">
        <f aca="false">IF(M89="","",INDEX($A$5:$A$8,MATCH(MIN(H89:K89),H89:K89,0)))</f>
        <v/>
      </c>
    </row>
    <row r="90" customFormat="false" ht="15" hidden="false" customHeight="false" outlineLevel="0" collapsed="false">
      <c r="A90" s="26" t="s">
        <v>209</v>
      </c>
      <c r="B90" s="25"/>
      <c r="C90" s="25"/>
      <c r="D90" s="25"/>
      <c r="E90" s="25"/>
      <c r="F90" s="25"/>
      <c r="H90" s="35" t="str">
        <f aca="false">IFERROR(AVERAGEIFS(Responses!$J$2:$J$1000,Responses!$K$2:$K$1000,$A$5),"")</f>
        <v/>
      </c>
      <c r="I90" s="35" t="str">
        <f aca="false">IFERROR(AVERAGEIFS(Responses!$J$2:$J$1000,Responses!$K$2:$K$1000,$A$6),"")</f>
        <v/>
      </c>
      <c r="J90" s="35" t="str">
        <f aca="false">IFERROR(AVERAGEIFS(Responses!$J$2:$J$1000,Responses!$K$2:$K$1000,$A$7),"")</f>
        <v/>
      </c>
      <c r="K90" s="35" t="str">
        <f aca="false">IFERROR(AVERAGEIFS(Responses!$J$2:$J$1000,Responses!$K$2:$K$1000,$A$8),"")</f>
        <v/>
      </c>
      <c r="L90" s="35" t="str">
        <f aca="false">IFERROR(AVERAGE(Responses!$J$2:$J$1000),"")</f>
        <v/>
      </c>
      <c r="M90" s="54" t="str">
        <f aca="false">IF(COUNT(H90:K90)&lt;2,"",MAX(H90:K90)-MIN(H90:K90))</f>
        <v/>
      </c>
    </row>
    <row r="93" customFormat="false" ht="31.5" hidden="false" customHeight="true" outlineLevel="0" collapsed="false">
      <c r="A93" s="22" t="s">
        <v>88</v>
      </c>
      <c r="B93" s="4"/>
      <c r="C93" s="4"/>
      <c r="D93" s="4"/>
      <c r="E93" s="4"/>
      <c r="F93" s="4"/>
      <c r="G93" s="4"/>
      <c r="H93" s="4"/>
      <c r="I93" s="4"/>
      <c r="J93" s="4"/>
      <c r="K93" s="4"/>
      <c r="L93" s="4"/>
      <c r="M93" s="4"/>
    </row>
    <row r="94" customFormat="false" ht="23.85" hidden="false" customHeight="true" outlineLevel="0" collapsed="false">
      <c r="A94" s="23" t="s">
        <v>194</v>
      </c>
      <c r="B94" s="48" t="s">
        <v>99</v>
      </c>
      <c r="C94" s="48"/>
      <c r="D94" s="48"/>
      <c r="E94" s="48"/>
      <c r="F94" s="48"/>
      <c r="H94" s="48" t="s">
        <v>195</v>
      </c>
      <c r="I94" s="48"/>
      <c r="J94" s="48"/>
      <c r="K94" s="48"/>
      <c r="L94" s="48"/>
      <c r="M94" s="49" t="s">
        <v>196</v>
      </c>
    </row>
    <row r="95" customFormat="false" ht="37.5" hidden="false" customHeight="true" outlineLevel="0" collapsed="false">
      <c r="A95" s="50"/>
      <c r="B95" s="33" t="str">
        <f aca="false">$A$5</f>
        <v>Formal training</v>
      </c>
      <c r="C95" s="33" t="str">
        <f aca="false">$A$6</f>
        <v>Written policy or guidelines only</v>
      </c>
      <c r="D95" s="33" t="str">
        <f aca="false">$A$7</f>
        <v>Informal advice only</v>
      </c>
      <c r="E95" s="33" t="str">
        <f aca="false">$A$8</f>
        <v>No guidance at all</v>
      </c>
      <c r="F95" s="33" t="s">
        <v>197</v>
      </c>
      <c r="H95" s="33" t="str">
        <f aca="false">$A$5</f>
        <v>Formal training</v>
      </c>
      <c r="I95" s="33" t="str">
        <f aca="false">$A$6</f>
        <v>Written policy or guidelines only</v>
      </c>
      <c r="J95" s="33" t="str">
        <f aca="false">$A$7</f>
        <v>Informal advice only</v>
      </c>
      <c r="K95" s="33" t="str">
        <f aca="false">$A$8</f>
        <v>No guidance at all</v>
      </c>
      <c r="L95" s="33" t="s">
        <v>197</v>
      </c>
    </row>
    <row r="96" customFormat="false" ht="15" hidden="false" customHeight="false" outlineLevel="0" collapsed="false">
      <c r="A96" s="26" t="s">
        <v>198</v>
      </c>
      <c r="B96" s="27" t="n">
        <f aca="false">COUNTIFS(Responses!$K$2:$K$1000,$A$5,Responses!$L$2:$L$1000,"&lt;&gt;")</f>
        <v>0</v>
      </c>
      <c r="C96" s="27" t="n">
        <f aca="false">COUNTIFS(Responses!$K$2:$K$1000,$A$6,Responses!$L$2:$L$1000,"&lt;&gt;")</f>
        <v>0</v>
      </c>
      <c r="D96" s="27" t="n">
        <f aca="false">COUNTIFS(Responses!$K$2:$K$1000,$A$7,Responses!$L$2:$L$1000,"&lt;&gt;")</f>
        <v>0</v>
      </c>
      <c r="E96" s="27" t="n">
        <f aca="false">COUNTIFS(Responses!$K$2:$K$1000,$A$8,Responses!$L$2:$L$1000,"&lt;&gt;")</f>
        <v>0</v>
      </c>
      <c r="F96" s="27" t="n">
        <f aca="false">COUNTA(Responses!$L$2:$L$1000)</f>
        <v>0</v>
      </c>
    </row>
    <row r="97" customFormat="false" ht="15" hidden="false" customHeight="false" outlineLevel="0" collapsed="false">
      <c r="A97" s="25" t="s">
        <v>153</v>
      </c>
      <c r="B97" s="11" t="n">
        <f aca="false">COUNTIFS(Responses!$L$2:$L$1000,$A97,Responses!$K$2:$K$1000,$A$5)</f>
        <v>0</v>
      </c>
      <c r="C97" s="11" t="n">
        <f aca="false">COUNTIFS(Responses!$L$2:$L$1000,$A97,Responses!$K$2:$K$1000,$A$6)</f>
        <v>0</v>
      </c>
      <c r="D97" s="11" t="n">
        <f aca="false">COUNTIFS(Responses!$L$2:$L$1000,$A97,Responses!$K$2:$K$1000,$A$7)</f>
        <v>0</v>
      </c>
      <c r="E97" s="11" t="n">
        <f aca="false">COUNTIFS(Responses!$L$2:$L$1000,$A97,Responses!$K$2:$K$1000,$A$8)</f>
        <v>0</v>
      </c>
      <c r="F97" s="11" t="n">
        <f aca="false">COUNTIF(Responses!$L$2:$L$1000,$A97)</f>
        <v>0</v>
      </c>
      <c r="H97" s="51" t="str">
        <f aca="false">IF(B$96=0,"",B97/B$96)</f>
        <v/>
      </c>
      <c r="I97" s="51" t="str">
        <f aca="false">IF(C$96=0,"",C97/C$96)</f>
        <v/>
      </c>
      <c r="J97" s="51" t="str">
        <f aca="false">IF(D$96=0,"",D97/D$96)</f>
        <v/>
      </c>
      <c r="K97" s="51" t="str">
        <f aca="false">IF(E$96=0,"",E97/E$96)</f>
        <v/>
      </c>
      <c r="L97" s="51" t="str">
        <f aca="false">IF(F$96=0,"",F97/F$96)</f>
        <v/>
      </c>
      <c r="M97" s="13" t="str">
        <f aca="false">IF(COUNT(H97:K97)&lt;2,"",MAX(H97:K97)-MIN(H97:K97))</f>
        <v/>
      </c>
      <c r="N97" s="52" t="s">
        <v>211</v>
      </c>
      <c r="O97" s="53" t="str">
        <f aca="false">IF(M97="","",M97+ROW()/1000000000)</f>
        <v/>
      </c>
      <c r="P97" s="52" t="str">
        <f aca="false">IF(M97="","",INDEX($A$5:$A$8,MATCH(MAX(H97:K97),H97:K97,0)))</f>
        <v/>
      </c>
      <c r="Q97" s="52" t="str">
        <f aca="false">IF(M97="","",INDEX($A$5:$A$8,MATCH(MIN(H97:K97),H97:K97,0)))</f>
        <v/>
      </c>
    </row>
    <row r="98" customFormat="false" ht="15" hidden="false" customHeight="false" outlineLevel="0" collapsed="false">
      <c r="A98" s="25" t="s">
        <v>56</v>
      </c>
      <c r="B98" s="11" t="n">
        <f aca="false">COUNTIFS(Responses!$L$2:$L$1000,$A98,Responses!$K$2:$K$1000,$A$5)</f>
        <v>0</v>
      </c>
      <c r="C98" s="11" t="n">
        <f aca="false">COUNTIFS(Responses!$L$2:$L$1000,$A98,Responses!$K$2:$K$1000,$A$6)</f>
        <v>0</v>
      </c>
      <c r="D98" s="11" t="n">
        <f aca="false">COUNTIFS(Responses!$L$2:$L$1000,$A98,Responses!$K$2:$K$1000,$A$7)</f>
        <v>0</v>
      </c>
      <c r="E98" s="11" t="n">
        <f aca="false">COUNTIFS(Responses!$L$2:$L$1000,$A98,Responses!$K$2:$K$1000,$A$8)</f>
        <v>0</v>
      </c>
      <c r="F98" s="11" t="n">
        <f aca="false">COUNTIF(Responses!$L$2:$L$1000,$A98)</f>
        <v>0</v>
      </c>
      <c r="H98" s="51" t="str">
        <f aca="false">IF(B$96=0,"",B98/B$96)</f>
        <v/>
      </c>
      <c r="I98" s="51" t="str">
        <f aca="false">IF(C$96=0,"",C98/C$96)</f>
        <v/>
      </c>
      <c r="J98" s="51" t="str">
        <f aca="false">IF(D$96=0,"",D98/D$96)</f>
        <v/>
      </c>
      <c r="K98" s="51" t="str">
        <f aca="false">IF(E$96=0,"",E98/E$96)</f>
        <v/>
      </c>
      <c r="L98" s="51" t="str">
        <f aca="false">IF(F$96=0,"",F98/F$96)</f>
        <v/>
      </c>
      <c r="M98" s="13" t="str">
        <f aca="false">IF(COUNT(H98:K98)&lt;2,"",MAX(H98:K98)-MIN(H98:K98))</f>
        <v/>
      </c>
      <c r="N98" s="52" t="s">
        <v>211</v>
      </c>
      <c r="O98" s="53" t="str">
        <f aca="false">IF(M98="","",M98+ROW()/1000000000)</f>
        <v/>
      </c>
      <c r="P98" s="52" t="str">
        <f aca="false">IF(M98="","",INDEX($A$5:$A$8,MATCH(MAX(H98:K98),H98:K98,0)))</f>
        <v/>
      </c>
      <c r="Q98" s="52" t="str">
        <f aca="false">IF(M98="","",INDEX($A$5:$A$8,MATCH(MIN(H98:K98),H98:K98,0)))</f>
        <v/>
      </c>
    </row>
    <row r="99" customFormat="false" ht="15" hidden="false" customHeight="false" outlineLevel="0" collapsed="false">
      <c r="A99" s="25" t="s">
        <v>154</v>
      </c>
      <c r="B99" s="11" t="n">
        <f aca="false">COUNTIFS(Responses!$L$2:$L$1000,$A99,Responses!$K$2:$K$1000,$A$5)</f>
        <v>0</v>
      </c>
      <c r="C99" s="11" t="n">
        <f aca="false">COUNTIFS(Responses!$L$2:$L$1000,$A99,Responses!$K$2:$K$1000,$A$6)</f>
        <v>0</v>
      </c>
      <c r="D99" s="11" t="n">
        <f aca="false">COUNTIFS(Responses!$L$2:$L$1000,$A99,Responses!$K$2:$K$1000,$A$7)</f>
        <v>0</v>
      </c>
      <c r="E99" s="11" t="n">
        <f aca="false">COUNTIFS(Responses!$L$2:$L$1000,$A99,Responses!$K$2:$K$1000,$A$8)</f>
        <v>0</v>
      </c>
      <c r="F99" s="11" t="n">
        <f aca="false">COUNTIF(Responses!$L$2:$L$1000,$A99)</f>
        <v>0</v>
      </c>
      <c r="H99" s="51" t="str">
        <f aca="false">IF(B$96=0,"",B99/B$96)</f>
        <v/>
      </c>
      <c r="I99" s="51" t="str">
        <f aca="false">IF(C$96=0,"",C99/C$96)</f>
        <v/>
      </c>
      <c r="J99" s="51" t="str">
        <f aca="false">IF(D$96=0,"",D99/D$96)</f>
        <v/>
      </c>
      <c r="K99" s="51" t="str">
        <f aca="false">IF(E$96=0,"",E99/E$96)</f>
        <v/>
      </c>
      <c r="L99" s="51" t="str">
        <f aca="false">IF(F$96=0,"",F99/F$96)</f>
        <v/>
      </c>
      <c r="M99" s="13" t="str">
        <f aca="false">IF(COUNT(H99:K99)&lt;2,"",MAX(H99:K99)-MIN(H99:K99))</f>
        <v/>
      </c>
      <c r="N99" s="52" t="s">
        <v>211</v>
      </c>
      <c r="O99" s="53" t="str">
        <f aca="false">IF(M99="","",M99+ROW()/1000000000)</f>
        <v/>
      </c>
      <c r="P99" s="52" t="str">
        <f aca="false">IF(M99="","",INDEX($A$5:$A$8,MATCH(MAX(H99:K99),H99:K99,0)))</f>
        <v/>
      </c>
      <c r="Q99" s="52" t="str">
        <f aca="false">IF(M99="","",INDEX($A$5:$A$8,MATCH(MIN(H99:K99),H99:K99,0)))</f>
        <v/>
      </c>
    </row>
    <row r="100" customFormat="false" ht="15" hidden="false" customHeight="false" outlineLevel="0" collapsed="false">
      <c r="A100" s="25" t="s">
        <v>155</v>
      </c>
      <c r="B100" s="11" t="n">
        <f aca="false">COUNTIFS(Responses!$L$2:$L$1000,$A100,Responses!$K$2:$K$1000,$A$5)</f>
        <v>0</v>
      </c>
      <c r="C100" s="11" t="n">
        <f aca="false">COUNTIFS(Responses!$L$2:$L$1000,$A100,Responses!$K$2:$K$1000,$A$6)</f>
        <v>0</v>
      </c>
      <c r="D100" s="11" t="n">
        <f aca="false">COUNTIFS(Responses!$L$2:$L$1000,$A100,Responses!$K$2:$K$1000,$A$7)</f>
        <v>0</v>
      </c>
      <c r="E100" s="11" t="n">
        <f aca="false">COUNTIFS(Responses!$L$2:$L$1000,$A100,Responses!$K$2:$K$1000,$A$8)</f>
        <v>0</v>
      </c>
      <c r="F100" s="11" t="n">
        <f aca="false">COUNTIF(Responses!$L$2:$L$1000,$A100)</f>
        <v>0</v>
      </c>
      <c r="H100" s="51" t="str">
        <f aca="false">IF(B$96=0,"",B100/B$96)</f>
        <v/>
      </c>
      <c r="I100" s="51" t="str">
        <f aca="false">IF(C$96=0,"",C100/C$96)</f>
        <v/>
      </c>
      <c r="J100" s="51" t="str">
        <f aca="false">IF(D$96=0,"",D100/D$96)</f>
        <v/>
      </c>
      <c r="K100" s="51" t="str">
        <f aca="false">IF(E$96=0,"",E100/E$96)</f>
        <v/>
      </c>
      <c r="L100" s="51" t="str">
        <f aca="false">IF(F$96=0,"",F100/F$96)</f>
        <v/>
      </c>
      <c r="M100" s="13" t="str">
        <f aca="false">IF(COUNT(H100:K100)&lt;2,"",MAX(H100:K100)-MIN(H100:K100))</f>
        <v/>
      </c>
      <c r="N100" s="52" t="s">
        <v>211</v>
      </c>
      <c r="O100" s="53" t="str">
        <f aca="false">IF(M100="","",M100+ROW()/1000000000)</f>
        <v/>
      </c>
      <c r="P100" s="52" t="str">
        <f aca="false">IF(M100="","",INDEX($A$5:$A$8,MATCH(MAX(H100:K100),H100:K100,0)))</f>
        <v/>
      </c>
      <c r="Q100" s="52" t="str">
        <f aca="false">IF(M100="","",INDEX($A$5:$A$8,MATCH(MIN(H100:K100),H100:K100,0)))</f>
        <v/>
      </c>
    </row>
    <row r="101" customFormat="false" ht="15" hidden="false" customHeight="false" outlineLevel="0" collapsed="false">
      <c r="A101" s="25" t="s">
        <v>156</v>
      </c>
      <c r="B101" s="11" t="n">
        <f aca="false">COUNTIFS(Responses!$L$2:$L$1000,$A101,Responses!$K$2:$K$1000,$A$5)</f>
        <v>0</v>
      </c>
      <c r="C101" s="11" t="n">
        <f aca="false">COUNTIFS(Responses!$L$2:$L$1000,$A101,Responses!$K$2:$K$1000,$A$6)</f>
        <v>0</v>
      </c>
      <c r="D101" s="11" t="n">
        <f aca="false">COUNTIFS(Responses!$L$2:$L$1000,$A101,Responses!$K$2:$K$1000,$A$7)</f>
        <v>0</v>
      </c>
      <c r="E101" s="11" t="n">
        <f aca="false">COUNTIFS(Responses!$L$2:$L$1000,$A101,Responses!$K$2:$K$1000,$A$8)</f>
        <v>0</v>
      </c>
      <c r="F101" s="11" t="n">
        <f aca="false">COUNTIF(Responses!$L$2:$L$1000,$A101)</f>
        <v>0</v>
      </c>
      <c r="H101" s="51" t="str">
        <f aca="false">IF(B$96=0,"",B101/B$96)</f>
        <v/>
      </c>
      <c r="I101" s="51" t="str">
        <f aca="false">IF(C$96=0,"",C101/C$96)</f>
        <v/>
      </c>
      <c r="J101" s="51" t="str">
        <f aca="false">IF(D$96=0,"",D101/D$96)</f>
        <v/>
      </c>
      <c r="K101" s="51" t="str">
        <f aca="false">IF(E$96=0,"",E101/E$96)</f>
        <v/>
      </c>
      <c r="L101" s="51" t="str">
        <f aca="false">IF(F$96=0,"",F101/F$96)</f>
        <v/>
      </c>
      <c r="M101" s="13" t="str">
        <f aca="false">IF(COUNT(H101:K101)&lt;2,"",MAX(H101:K101)-MIN(H101:K101))</f>
        <v/>
      </c>
      <c r="N101" s="52" t="s">
        <v>211</v>
      </c>
      <c r="O101" s="53" t="str">
        <f aca="false">IF(M101="","",M101+ROW()/1000000000)</f>
        <v/>
      </c>
      <c r="P101" s="52" t="str">
        <f aca="false">IF(M101="","",INDEX($A$5:$A$8,MATCH(MAX(H101:K101),H101:K101,0)))</f>
        <v/>
      </c>
      <c r="Q101" s="52" t="str">
        <f aca="false">IF(M101="","",INDEX($A$5:$A$8,MATCH(MIN(H101:K101),H101:K101,0)))</f>
        <v/>
      </c>
    </row>
    <row r="104" customFormat="false" ht="31.5" hidden="false" customHeight="true" outlineLevel="0" collapsed="false">
      <c r="A104" s="22" t="s">
        <v>89</v>
      </c>
      <c r="B104" s="4"/>
      <c r="C104" s="4"/>
      <c r="D104" s="4"/>
      <c r="E104" s="4"/>
      <c r="F104" s="4"/>
      <c r="G104" s="4"/>
      <c r="H104" s="4"/>
      <c r="I104" s="4"/>
      <c r="J104" s="4"/>
      <c r="K104" s="4"/>
      <c r="L104" s="4"/>
      <c r="M104" s="4"/>
    </row>
    <row r="105" customFormat="false" ht="23.85" hidden="false" customHeight="true" outlineLevel="0" collapsed="false">
      <c r="A105" s="23" t="s">
        <v>194</v>
      </c>
      <c r="B105" s="48" t="s">
        <v>99</v>
      </c>
      <c r="C105" s="48"/>
      <c r="D105" s="48"/>
      <c r="E105" s="48"/>
      <c r="F105" s="48"/>
      <c r="H105" s="48" t="s">
        <v>195</v>
      </c>
      <c r="I105" s="48"/>
      <c r="J105" s="48"/>
      <c r="K105" s="48"/>
      <c r="L105" s="48"/>
      <c r="M105" s="49" t="s">
        <v>196</v>
      </c>
    </row>
    <row r="106" customFormat="false" ht="37.5" hidden="false" customHeight="true" outlineLevel="0" collapsed="false">
      <c r="A106" s="50"/>
      <c r="B106" s="33" t="str">
        <f aca="false">$A$5</f>
        <v>Formal training</v>
      </c>
      <c r="C106" s="33" t="str">
        <f aca="false">$A$6</f>
        <v>Written policy or guidelines only</v>
      </c>
      <c r="D106" s="33" t="str">
        <f aca="false">$A$7</f>
        <v>Informal advice only</v>
      </c>
      <c r="E106" s="33" t="str">
        <f aca="false">$A$8</f>
        <v>No guidance at all</v>
      </c>
      <c r="F106" s="33" t="s">
        <v>197</v>
      </c>
      <c r="H106" s="33" t="str">
        <f aca="false">$A$5</f>
        <v>Formal training</v>
      </c>
      <c r="I106" s="33" t="str">
        <f aca="false">$A$6</f>
        <v>Written policy or guidelines only</v>
      </c>
      <c r="J106" s="33" t="str">
        <f aca="false">$A$7</f>
        <v>Informal advice only</v>
      </c>
      <c r="K106" s="33" t="str">
        <f aca="false">$A$8</f>
        <v>No guidance at all</v>
      </c>
      <c r="L106" s="33" t="s">
        <v>197</v>
      </c>
    </row>
    <row r="107" customFormat="false" ht="15" hidden="false" customHeight="false" outlineLevel="0" collapsed="false">
      <c r="A107" s="26" t="s">
        <v>198</v>
      </c>
      <c r="B107" s="27" t="n">
        <f aca="false">COUNTIFS(Responses!$K$2:$K$1000,$A$5,Responses!$M$2:$M$1000,"&lt;&gt;")</f>
        <v>0</v>
      </c>
      <c r="C107" s="27" t="n">
        <f aca="false">COUNTIFS(Responses!$K$2:$K$1000,$A$6,Responses!$M$2:$M$1000,"&lt;&gt;")</f>
        <v>0</v>
      </c>
      <c r="D107" s="27" t="n">
        <f aca="false">COUNTIFS(Responses!$K$2:$K$1000,$A$7,Responses!$M$2:$M$1000,"&lt;&gt;")</f>
        <v>0</v>
      </c>
      <c r="E107" s="27" t="n">
        <f aca="false">COUNTIFS(Responses!$K$2:$K$1000,$A$8,Responses!$M$2:$M$1000,"&lt;&gt;")</f>
        <v>0</v>
      </c>
      <c r="F107" s="27" t="n">
        <f aca="false">COUNTA(Responses!$M$2:$M$1000)</f>
        <v>0</v>
      </c>
    </row>
    <row r="108" customFormat="false" ht="15" hidden="false" customHeight="false" outlineLevel="0" collapsed="false">
      <c r="A108" s="25" t="s">
        <v>158</v>
      </c>
      <c r="B108" s="11" t="n">
        <f aca="false">COUNTIFS(Responses!$M$2:$M$1000,"*"&amp;$A108&amp;"*",Responses!$K$2:$K$1000,$A$5)</f>
        <v>0</v>
      </c>
      <c r="C108" s="11" t="n">
        <f aca="false">COUNTIFS(Responses!$M$2:$M$1000,"*"&amp;$A108&amp;"*",Responses!$K$2:$K$1000,$A$6)</f>
        <v>0</v>
      </c>
      <c r="D108" s="11" t="n">
        <f aca="false">COUNTIFS(Responses!$M$2:$M$1000,"*"&amp;$A108&amp;"*",Responses!$K$2:$K$1000,$A$7)</f>
        <v>0</v>
      </c>
      <c r="E108" s="11" t="n">
        <f aca="false">COUNTIFS(Responses!$M$2:$M$1000,"*"&amp;$A108&amp;"*",Responses!$K$2:$K$1000,$A$8)</f>
        <v>0</v>
      </c>
      <c r="F108" s="11" t="n">
        <f aca="false">COUNTIF(Responses!$M$2:$M$1000,"*"&amp;$A108&amp;"*")</f>
        <v>0</v>
      </c>
      <c r="H108" s="51" t="str">
        <f aca="false">IF(B$107=0,"",B108/B$107)</f>
        <v/>
      </c>
      <c r="I108" s="51" t="str">
        <f aca="false">IF(C$107=0,"",C108/C$107)</f>
        <v/>
      </c>
      <c r="J108" s="51" t="str">
        <f aca="false">IF(D$107=0,"",D108/D$107)</f>
        <v/>
      </c>
      <c r="K108" s="51" t="str">
        <f aca="false">IF(E$107=0,"",E108/E$107)</f>
        <v/>
      </c>
      <c r="L108" s="51" t="str">
        <f aca="false">IF(F$107=0,"",F108/F$107)</f>
        <v/>
      </c>
      <c r="M108" s="13" t="str">
        <f aca="false">IF(COUNT(H108:K108)&lt;2,"",MAX(H108:K108)-MIN(H108:K108))</f>
        <v/>
      </c>
      <c r="N108" s="52" t="s">
        <v>212</v>
      </c>
      <c r="O108" s="53" t="str">
        <f aca="false">IF(M108="","",M108+ROW()/1000000000)</f>
        <v/>
      </c>
      <c r="P108" s="52" t="str">
        <f aca="false">IF(M108="","",INDEX($A$5:$A$8,MATCH(MAX(H108:K108),H108:K108,0)))</f>
        <v/>
      </c>
      <c r="Q108" s="52" t="str">
        <f aca="false">IF(M108="","",INDEX($A$5:$A$8,MATCH(MIN(H108:K108),H108:K108,0)))</f>
        <v/>
      </c>
    </row>
    <row r="109" customFormat="false" ht="15" hidden="false" customHeight="false" outlineLevel="0" collapsed="false">
      <c r="A109" s="25" t="s">
        <v>159</v>
      </c>
      <c r="B109" s="11" t="n">
        <f aca="false">COUNTIFS(Responses!$M$2:$M$1000,"*"&amp;$A109&amp;"*",Responses!$K$2:$K$1000,$A$5)</f>
        <v>0</v>
      </c>
      <c r="C109" s="11" t="n">
        <f aca="false">COUNTIFS(Responses!$M$2:$M$1000,"*"&amp;$A109&amp;"*",Responses!$K$2:$K$1000,$A$6)</f>
        <v>0</v>
      </c>
      <c r="D109" s="11" t="n">
        <f aca="false">COUNTIFS(Responses!$M$2:$M$1000,"*"&amp;$A109&amp;"*",Responses!$K$2:$K$1000,$A$7)</f>
        <v>0</v>
      </c>
      <c r="E109" s="11" t="n">
        <f aca="false">COUNTIFS(Responses!$M$2:$M$1000,"*"&amp;$A109&amp;"*",Responses!$K$2:$K$1000,$A$8)</f>
        <v>0</v>
      </c>
      <c r="F109" s="11" t="n">
        <f aca="false">COUNTIF(Responses!$M$2:$M$1000,"*"&amp;$A109&amp;"*")</f>
        <v>0</v>
      </c>
      <c r="H109" s="51" t="str">
        <f aca="false">IF(B$107=0,"",B109/B$107)</f>
        <v/>
      </c>
      <c r="I109" s="51" t="str">
        <f aca="false">IF(C$107=0,"",C109/C$107)</f>
        <v/>
      </c>
      <c r="J109" s="51" t="str">
        <f aca="false">IF(D$107=0,"",D109/D$107)</f>
        <v/>
      </c>
      <c r="K109" s="51" t="str">
        <f aca="false">IF(E$107=0,"",E109/E$107)</f>
        <v/>
      </c>
      <c r="L109" s="51" t="str">
        <f aca="false">IF(F$107=0,"",F109/F$107)</f>
        <v/>
      </c>
      <c r="M109" s="13" t="str">
        <f aca="false">IF(COUNT(H109:K109)&lt;2,"",MAX(H109:K109)-MIN(H109:K109))</f>
        <v/>
      </c>
      <c r="N109" s="52" t="s">
        <v>212</v>
      </c>
      <c r="O109" s="53" t="str">
        <f aca="false">IF(M109="","",M109+ROW()/1000000000)</f>
        <v/>
      </c>
      <c r="P109" s="52" t="str">
        <f aca="false">IF(M109="","",INDEX($A$5:$A$8,MATCH(MAX(H109:K109),H109:K109,0)))</f>
        <v/>
      </c>
      <c r="Q109" s="52" t="str">
        <f aca="false">IF(M109="","",INDEX($A$5:$A$8,MATCH(MIN(H109:K109),H109:K109,0)))</f>
        <v/>
      </c>
    </row>
    <row r="110" customFormat="false" ht="15" hidden="false" customHeight="false" outlineLevel="0" collapsed="false">
      <c r="A110" s="25" t="s">
        <v>160</v>
      </c>
      <c r="B110" s="11" t="n">
        <f aca="false">COUNTIFS(Responses!$M$2:$M$1000,"*"&amp;$A110&amp;"*",Responses!$K$2:$K$1000,$A$5)</f>
        <v>0</v>
      </c>
      <c r="C110" s="11" t="n">
        <f aca="false">COUNTIFS(Responses!$M$2:$M$1000,"*"&amp;$A110&amp;"*",Responses!$K$2:$K$1000,$A$6)</f>
        <v>0</v>
      </c>
      <c r="D110" s="11" t="n">
        <f aca="false">COUNTIFS(Responses!$M$2:$M$1000,"*"&amp;$A110&amp;"*",Responses!$K$2:$K$1000,$A$7)</f>
        <v>0</v>
      </c>
      <c r="E110" s="11" t="n">
        <f aca="false">COUNTIFS(Responses!$M$2:$M$1000,"*"&amp;$A110&amp;"*",Responses!$K$2:$K$1000,$A$8)</f>
        <v>0</v>
      </c>
      <c r="F110" s="11" t="n">
        <f aca="false">COUNTIF(Responses!$M$2:$M$1000,"*"&amp;$A110&amp;"*")</f>
        <v>0</v>
      </c>
      <c r="H110" s="51" t="str">
        <f aca="false">IF(B$107=0,"",B110/B$107)</f>
        <v/>
      </c>
      <c r="I110" s="51" t="str">
        <f aca="false">IF(C$107=0,"",C110/C$107)</f>
        <v/>
      </c>
      <c r="J110" s="51" t="str">
        <f aca="false">IF(D$107=0,"",D110/D$107)</f>
        <v/>
      </c>
      <c r="K110" s="51" t="str">
        <f aca="false">IF(E$107=0,"",E110/E$107)</f>
        <v/>
      </c>
      <c r="L110" s="51" t="str">
        <f aca="false">IF(F$107=0,"",F110/F$107)</f>
        <v/>
      </c>
      <c r="M110" s="13" t="str">
        <f aca="false">IF(COUNT(H110:K110)&lt;2,"",MAX(H110:K110)-MIN(H110:K110))</f>
        <v/>
      </c>
      <c r="N110" s="52" t="s">
        <v>212</v>
      </c>
      <c r="O110" s="53" t="str">
        <f aca="false">IF(M110="","",M110+ROW()/1000000000)</f>
        <v/>
      </c>
      <c r="P110" s="52" t="str">
        <f aca="false">IF(M110="","",INDEX($A$5:$A$8,MATCH(MAX(H110:K110),H110:K110,0)))</f>
        <v/>
      </c>
      <c r="Q110" s="52" t="str">
        <f aca="false">IF(M110="","",INDEX($A$5:$A$8,MATCH(MIN(H110:K110),H110:K110,0)))</f>
        <v/>
      </c>
    </row>
    <row r="111" customFormat="false" ht="15" hidden="false" customHeight="false" outlineLevel="0" collapsed="false">
      <c r="A111" s="25" t="s">
        <v>161</v>
      </c>
      <c r="B111" s="11" t="n">
        <f aca="false">COUNTIFS(Responses!$M$2:$M$1000,"*"&amp;$A111&amp;"*",Responses!$K$2:$K$1000,$A$5)</f>
        <v>0</v>
      </c>
      <c r="C111" s="11" t="n">
        <f aca="false">COUNTIFS(Responses!$M$2:$M$1000,"*"&amp;$A111&amp;"*",Responses!$K$2:$K$1000,$A$6)</f>
        <v>0</v>
      </c>
      <c r="D111" s="11" t="n">
        <f aca="false">COUNTIFS(Responses!$M$2:$M$1000,"*"&amp;$A111&amp;"*",Responses!$K$2:$K$1000,$A$7)</f>
        <v>0</v>
      </c>
      <c r="E111" s="11" t="n">
        <f aca="false">COUNTIFS(Responses!$M$2:$M$1000,"*"&amp;$A111&amp;"*",Responses!$K$2:$K$1000,$A$8)</f>
        <v>0</v>
      </c>
      <c r="F111" s="11" t="n">
        <f aca="false">COUNTIF(Responses!$M$2:$M$1000,"*"&amp;$A111&amp;"*")</f>
        <v>0</v>
      </c>
      <c r="H111" s="51" t="str">
        <f aca="false">IF(B$107=0,"",B111/B$107)</f>
        <v/>
      </c>
      <c r="I111" s="51" t="str">
        <f aca="false">IF(C$107=0,"",C111/C$107)</f>
        <v/>
      </c>
      <c r="J111" s="51" t="str">
        <f aca="false">IF(D$107=0,"",D111/D$107)</f>
        <v/>
      </c>
      <c r="K111" s="51" t="str">
        <f aca="false">IF(E$107=0,"",E111/E$107)</f>
        <v/>
      </c>
      <c r="L111" s="51" t="str">
        <f aca="false">IF(F$107=0,"",F111/F$107)</f>
        <v/>
      </c>
      <c r="M111" s="13" t="str">
        <f aca="false">IF(COUNT(H111:K111)&lt;2,"",MAX(H111:K111)-MIN(H111:K111))</f>
        <v/>
      </c>
      <c r="N111" s="52" t="s">
        <v>212</v>
      </c>
      <c r="O111" s="53" t="str">
        <f aca="false">IF(M111="","",M111+ROW()/1000000000)</f>
        <v/>
      </c>
      <c r="P111" s="52" t="str">
        <f aca="false">IF(M111="","",INDEX($A$5:$A$8,MATCH(MAX(H111:K111),H111:K111,0)))</f>
        <v/>
      </c>
      <c r="Q111" s="52" t="str">
        <f aca="false">IF(M111="","",INDEX($A$5:$A$8,MATCH(MIN(H111:K111),H111:K111,0)))</f>
        <v/>
      </c>
    </row>
    <row r="112" customFormat="false" ht="15" hidden="false" customHeight="false" outlineLevel="0" collapsed="false">
      <c r="A112" s="25" t="s">
        <v>162</v>
      </c>
      <c r="B112" s="11" t="n">
        <f aca="false">COUNTIFS(Responses!$M$2:$M$1000,"*"&amp;$A112&amp;"*",Responses!$K$2:$K$1000,$A$5)</f>
        <v>0</v>
      </c>
      <c r="C112" s="11" t="n">
        <f aca="false">COUNTIFS(Responses!$M$2:$M$1000,"*"&amp;$A112&amp;"*",Responses!$K$2:$K$1000,$A$6)</f>
        <v>0</v>
      </c>
      <c r="D112" s="11" t="n">
        <f aca="false">COUNTIFS(Responses!$M$2:$M$1000,"*"&amp;$A112&amp;"*",Responses!$K$2:$K$1000,$A$7)</f>
        <v>0</v>
      </c>
      <c r="E112" s="11" t="n">
        <f aca="false">COUNTIFS(Responses!$M$2:$M$1000,"*"&amp;$A112&amp;"*",Responses!$K$2:$K$1000,$A$8)</f>
        <v>0</v>
      </c>
      <c r="F112" s="11" t="n">
        <f aca="false">COUNTIF(Responses!$M$2:$M$1000,"*"&amp;$A112&amp;"*")</f>
        <v>0</v>
      </c>
      <c r="H112" s="51" t="str">
        <f aca="false">IF(B$107=0,"",B112/B$107)</f>
        <v/>
      </c>
      <c r="I112" s="51" t="str">
        <f aca="false">IF(C$107=0,"",C112/C$107)</f>
        <v/>
      </c>
      <c r="J112" s="51" t="str">
        <f aca="false">IF(D$107=0,"",D112/D$107)</f>
        <v/>
      </c>
      <c r="K112" s="51" t="str">
        <f aca="false">IF(E$107=0,"",E112/E$107)</f>
        <v/>
      </c>
      <c r="L112" s="51" t="str">
        <f aca="false">IF(F$107=0,"",F112/F$107)</f>
        <v/>
      </c>
      <c r="M112" s="13" t="str">
        <f aca="false">IF(COUNT(H112:K112)&lt;2,"",MAX(H112:K112)-MIN(H112:K112))</f>
        <v/>
      </c>
      <c r="N112" s="52" t="s">
        <v>212</v>
      </c>
      <c r="O112" s="53" t="str">
        <f aca="false">IF(M112="","",M112+ROW()/1000000000)</f>
        <v/>
      </c>
      <c r="P112" s="52" t="str">
        <f aca="false">IF(M112="","",INDEX($A$5:$A$8,MATCH(MAX(H112:K112),H112:K112,0)))</f>
        <v/>
      </c>
      <c r="Q112" s="52" t="str">
        <f aca="false">IF(M112="","",INDEX($A$5:$A$8,MATCH(MIN(H112:K112),H112:K112,0)))</f>
        <v/>
      </c>
    </row>
    <row r="113" customFormat="false" ht="15" hidden="false" customHeight="false" outlineLevel="0" collapsed="false">
      <c r="A113" s="25" t="s">
        <v>163</v>
      </c>
      <c r="B113" s="11" t="n">
        <f aca="false">COUNTIFS(Responses!$M$2:$M$1000,"*"&amp;$A113&amp;"*",Responses!$K$2:$K$1000,$A$5)</f>
        <v>0</v>
      </c>
      <c r="C113" s="11" t="n">
        <f aca="false">COUNTIFS(Responses!$M$2:$M$1000,"*"&amp;$A113&amp;"*",Responses!$K$2:$K$1000,$A$6)</f>
        <v>0</v>
      </c>
      <c r="D113" s="11" t="n">
        <f aca="false">COUNTIFS(Responses!$M$2:$M$1000,"*"&amp;$A113&amp;"*",Responses!$K$2:$K$1000,$A$7)</f>
        <v>0</v>
      </c>
      <c r="E113" s="11" t="n">
        <f aca="false">COUNTIFS(Responses!$M$2:$M$1000,"*"&amp;$A113&amp;"*",Responses!$K$2:$K$1000,$A$8)</f>
        <v>0</v>
      </c>
      <c r="F113" s="11" t="n">
        <f aca="false">COUNTIF(Responses!$M$2:$M$1000,"*"&amp;$A113&amp;"*")</f>
        <v>0</v>
      </c>
      <c r="H113" s="51" t="str">
        <f aca="false">IF(B$107=0,"",B113/B$107)</f>
        <v/>
      </c>
      <c r="I113" s="51" t="str">
        <f aca="false">IF(C$107=0,"",C113/C$107)</f>
        <v/>
      </c>
      <c r="J113" s="51" t="str">
        <f aca="false">IF(D$107=0,"",D113/D$107)</f>
        <v/>
      </c>
      <c r="K113" s="51" t="str">
        <f aca="false">IF(E$107=0,"",E113/E$107)</f>
        <v/>
      </c>
      <c r="L113" s="51" t="str">
        <f aca="false">IF(F$107=0,"",F113/F$107)</f>
        <v/>
      </c>
      <c r="M113" s="13" t="str">
        <f aca="false">IF(COUNT(H113:K113)&lt;2,"",MAX(H113:K113)-MIN(H113:K113))</f>
        <v/>
      </c>
      <c r="N113" s="52" t="s">
        <v>212</v>
      </c>
      <c r="O113" s="53" t="str">
        <f aca="false">IF(M113="","",M113+ROW()/1000000000)</f>
        <v/>
      </c>
      <c r="P113" s="52" t="str">
        <f aca="false">IF(M113="","",INDEX($A$5:$A$8,MATCH(MAX(H113:K113),H113:K113,0)))</f>
        <v/>
      </c>
      <c r="Q113" s="52" t="str">
        <f aca="false">IF(M113="","",INDEX($A$5:$A$8,MATCH(MIN(H113:K113),H113:K113,0)))</f>
        <v/>
      </c>
    </row>
    <row r="114" customFormat="false" ht="15" hidden="false" customHeight="false" outlineLevel="0" collapsed="false">
      <c r="A114" s="25" t="s">
        <v>164</v>
      </c>
      <c r="B114" s="11" t="n">
        <f aca="false">COUNTIFS(Responses!$M$2:$M$1000,"*"&amp;$A114&amp;"*",Responses!$K$2:$K$1000,$A$5)</f>
        <v>0</v>
      </c>
      <c r="C114" s="11" t="n">
        <f aca="false">COUNTIFS(Responses!$M$2:$M$1000,"*"&amp;$A114&amp;"*",Responses!$K$2:$K$1000,$A$6)</f>
        <v>0</v>
      </c>
      <c r="D114" s="11" t="n">
        <f aca="false">COUNTIFS(Responses!$M$2:$M$1000,"*"&amp;$A114&amp;"*",Responses!$K$2:$K$1000,$A$7)</f>
        <v>0</v>
      </c>
      <c r="E114" s="11" t="n">
        <f aca="false">COUNTIFS(Responses!$M$2:$M$1000,"*"&amp;$A114&amp;"*",Responses!$K$2:$K$1000,$A$8)</f>
        <v>0</v>
      </c>
      <c r="F114" s="11" t="n">
        <f aca="false">COUNTIF(Responses!$M$2:$M$1000,"*"&amp;$A114&amp;"*")</f>
        <v>0</v>
      </c>
      <c r="H114" s="51" t="str">
        <f aca="false">IF(B$107=0,"",B114/B$107)</f>
        <v/>
      </c>
      <c r="I114" s="51" t="str">
        <f aca="false">IF(C$107=0,"",C114/C$107)</f>
        <v/>
      </c>
      <c r="J114" s="51" t="str">
        <f aca="false">IF(D$107=0,"",D114/D$107)</f>
        <v/>
      </c>
      <c r="K114" s="51" t="str">
        <f aca="false">IF(E$107=0,"",E114/E$107)</f>
        <v/>
      </c>
      <c r="L114" s="51" t="str">
        <f aca="false">IF(F$107=0,"",F114/F$107)</f>
        <v/>
      </c>
      <c r="M114" s="13" t="str">
        <f aca="false">IF(COUNT(H114:K114)&lt;2,"",MAX(H114:K114)-MIN(H114:K114))</f>
        <v/>
      </c>
      <c r="N114" s="52" t="s">
        <v>212</v>
      </c>
      <c r="O114" s="53" t="str">
        <f aca="false">IF(M114="","",M114+ROW()/1000000000)</f>
        <v/>
      </c>
      <c r="P114" s="52" t="str">
        <f aca="false">IF(M114="","",INDEX($A$5:$A$8,MATCH(MAX(H114:K114),H114:K114,0)))</f>
        <v/>
      </c>
      <c r="Q114" s="52" t="str">
        <f aca="false">IF(M114="","",INDEX($A$5:$A$8,MATCH(MIN(H114:K114),H114:K114,0)))</f>
        <v/>
      </c>
    </row>
    <row r="117" customFormat="false" ht="31.5" hidden="false" customHeight="true" outlineLevel="0" collapsed="false">
      <c r="A117" s="22" t="s">
        <v>90</v>
      </c>
      <c r="B117" s="4"/>
      <c r="C117" s="4"/>
      <c r="D117" s="4"/>
      <c r="E117" s="4"/>
      <c r="F117" s="4"/>
      <c r="G117" s="4"/>
      <c r="H117" s="4"/>
      <c r="I117" s="4"/>
      <c r="J117" s="4"/>
      <c r="K117" s="4"/>
      <c r="L117" s="4"/>
      <c r="M117" s="4"/>
    </row>
    <row r="118" customFormat="false" ht="23.85" hidden="false" customHeight="true" outlineLevel="0" collapsed="false">
      <c r="A118" s="23" t="s">
        <v>194</v>
      </c>
      <c r="B118" s="48" t="s">
        <v>99</v>
      </c>
      <c r="C118" s="48"/>
      <c r="D118" s="48"/>
      <c r="E118" s="48"/>
      <c r="F118" s="48"/>
      <c r="H118" s="48" t="s">
        <v>195</v>
      </c>
      <c r="I118" s="48"/>
      <c r="J118" s="48"/>
      <c r="K118" s="48"/>
      <c r="L118" s="48"/>
      <c r="M118" s="49" t="s">
        <v>196</v>
      </c>
    </row>
    <row r="119" customFormat="false" ht="37.5" hidden="false" customHeight="true" outlineLevel="0" collapsed="false">
      <c r="A119" s="50"/>
      <c r="B119" s="33" t="str">
        <f aca="false">$A$5</f>
        <v>Formal training</v>
      </c>
      <c r="C119" s="33" t="str">
        <f aca="false">$A$6</f>
        <v>Written policy or guidelines only</v>
      </c>
      <c r="D119" s="33" t="str">
        <f aca="false">$A$7</f>
        <v>Informal advice only</v>
      </c>
      <c r="E119" s="33" t="str">
        <f aca="false">$A$8</f>
        <v>No guidance at all</v>
      </c>
      <c r="F119" s="33" t="s">
        <v>197</v>
      </c>
      <c r="H119" s="33" t="str">
        <f aca="false">$A$5</f>
        <v>Formal training</v>
      </c>
      <c r="I119" s="33" t="str">
        <f aca="false">$A$6</f>
        <v>Written policy or guidelines only</v>
      </c>
      <c r="J119" s="33" t="str">
        <f aca="false">$A$7</f>
        <v>Informal advice only</v>
      </c>
      <c r="K119" s="33" t="str">
        <f aca="false">$A$8</f>
        <v>No guidance at all</v>
      </c>
      <c r="L119" s="33" t="s">
        <v>197</v>
      </c>
    </row>
    <row r="120" customFormat="false" ht="15" hidden="false" customHeight="false" outlineLevel="0" collapsed="false">
      <c r="A120" s="26" t="s">
        <v>198</v>
      </c>
      <c r="B120" s="27" t="n">
        <f aca="false">COUNTIFS(Responses!$K$2:$K$1000,$A$5,Responses!$N$2:$N$1000,"&lt;&gt;")</f>
        <v>0</v>
      </c>
      <c r="C120" s="27" t="n">
        <f aca="false">COUNTIFS(Responses!$K$2:$K$1000,$A$6,Responses!$N$2:$N$1000,"&lt;&gt;")</f>
        <v>0</v>
      </c>
      <c r="D120" s="27" t="n">
        <f aca="false">COUNTIFS(Responses!$K$2:$K$1000,$A$7,Responses!$N$2:$N$1000,"&lt;&gt;")</f>
        <v>0</v>
      </c>
      <c r="E120" s="27" t="n">
        <f aca="false">COUNTIFS(Responses!$K$2:$K$1000,$A$8,Responses!$N$2:$N$1000,"&lt;&gt;")</f>
        <v>0</v>
      </c>
      <c r="F120" s="27" t="n">
        <f aca="false">COUNTA(Responses!$N$2:$N$1000)</f>
        <v>0</v>
      </c>
    </row>
    <row r="121" customFormat="false" ht="15" hidden="false" customHeight="false" outlineLevel="0" collapsed="false">
      <c r="A121" s="25" t="s">
        <v>207</v>
      </c>
      <c r="B121" s="11" t="n">
        <f aca="false">COUNTIFS(Responses!$N$2:$N$1000,"&gt;=4",Responses!$K$2:$K$1000,$A$5)</f>
        <v>0</v>
      </c>
      <c r="C121" s="11" t="n">
        <f aca="false">COUNTIFS(Responses!$N$2:$N$1000,"&gt;=4",Responses!$K$2:$K$1000,$A$6)</f>
        <v>0</v>
      </c>
      <c r="D121" s="11" t="n">
        <f aca="false">COUNTIFS(Responses!$N$2:$N$1000,"&gt;=4",Responses!$K$2:$K$1000,$A$7)</f>
        <v>0</v>
      </c>
      <c r="E121" s="11" t="n">
        <f aca="false">COUNTIFS(Responses!$N$2:$N$1000,"&gt;=4",Responses!$K$2:$K$1000,$A$8)</f>
        <v>0</v>
      </c>
      <c r="F121" s="11" t="n">
        <f aca="false">COUNTIF(Responses!$N$2:$N$1000,"&gt;=4")</f>
        <v>0</v>
      </c>
      <c r="H121" s="51" t="str">
        <f aca="false">IF(B$120=0,"",B121/B$120)</f>
        <v/>
      </c>
      <c r="I121" s="51" t="str">
        <f aca="false">IF(C$120=0,"",C121/C$120)</f>
        <v/>
      </c>
      <c r="J121" s="51" t="str">
        <f aca="false">IF(D$120=0,"",D121/D$120)</f>
        <v/>
      </c>
      <c r="K121" s="51" t="str">
        <f aca="false">IF(E$120=0,"",E121/E$120)</f>
        <v/>
      </c>
      <c r="L121" s="51" t="str">
        <f aca="false">IF(F$120=0,"",F121/F$120)</f>
        <v/>
      </c>
      <c r="M121" s="13" t="str">
        <f aca="false">IF(COUNT(H121:K121)&lt;2,"",MAX(H121:K121)-MIN(H121:K121))</f>
        <v/>
      </c>
      <c r="N121" s="52" t="s">
        <v>213</v>
      </c>
      <c r="O121" s="53" t="str">
        <f aca="false">IF(M121="","",M121+ROW()/1000000000)</f>
        <v/>
      </c>
      <c r="P121" s="52" t="str">
        <f aca="false">IF(M121="","",INDEX($A$5:$A$8,MATCH(MAX(H121:K121),H121:K121,0)))</f>
        <v/>
      </c>
      <c r="Q121" s="52" t="str">
        <f aca="false">IF(M121="","",INDEX($A$5:$A$8,MATCH(MIN(H121:K121),H121:K121,0)))</f>
        <v/>
      </c>
    </row>
    <row r="122" customFormat="false" ht="15" hidden="false" customHeight="false" outlineLevel="0" collapsed="false">
      <c r="A122" s="26" t="s">
        <v>209</v>
      </c>
      <c r="B122" s="25"/>
      <c r="C122" s="25"/>
      <c r="D122" s="25"/>
      <c r="E122" s="25"/>
      <c r="F122" s="25"/>
      <c r="H122" s="35" t="str">
        <f aca="false">IFERROR(AVERAGEIFS(Responses!$N$2:$N$1000,Responses!$K$2:$K$1000,$A$5),"")</f>
        <v/>
      </c>
      <c r="I122" s="35" t="str">
        <f aca="false">IFERROR(AVERAGEIFS(Responses!$N$2:$N$1000,Responses!$K$2:$K$1000,$A$6),"")</f>
        <v/>
      </c>
      <c r="J122" s="35" t="str">
        <f aca="false">IFERROR(AVERAGEIFS(Responses!$N$2:$N$1000,Responses!$K$2:$K$1000,$A$7),"")</f>
        <v/>
      </c>
      <c r="K122" s="35" t="str">
        <f aca="false">IFERROR(AVERAGEIFS(Responses!$N$2:$N$1000,Responses!$K$2:$K$1000,$A$8),"")</f>
        <v/>
      </c>
      <c r="L122" s="35" t="str">
        <f aca="false">IFERROR(AVERAGE(Responses!$N$2:$N$1000),"")</f>
        <v/>
      </c>
      <c r="M122" s="54" t="str">
        <f aca="false">IF(COUNT(H122:K122)&lt;2,"",MAX(H122:K122)-MIN(H122:K122))</f>
        <v/>
      </c>
    </row>
    <row r="125" customFormat="false" ht="31.5" hidden="false" customHeight="true" outlineLevel="0" collapsed="false">
      <c r="A125" s="22" t="s">
        <v>91</v>
      </c>
      <c r="B125" s="4"/>
      <c r="C125" s="4"/>
      <c r="D125" s="4"/>
      <c r="E125" s="4"/>
      <c r="F125" s="4"/>
      <c r="G125" s="4"/>
      <c r="H125" s="4"/>
      <c r="I125" s="4"/>
      <c r="J125" s="4"/>
      <c r="K125" s="4"/>
      <c r="L125" s="4"/>
      <c r="M125" s="4"/>
    </row>
    <row r="126" customFormat="false" ht="23.85" hidden="false" customHeight="true" outlineLevel="0" collapsed="false">
      <c r="A126" s="23" t="s">
        <v>194</v>
      </c>
      <c r="B126" s="48" t="s">
        <v>99</v>
      </c>
      <c r="C126" s="48"/>
      <c r="D126" s="48"/>
      <c r="E126" s="48"/>
      <c r="F126" s="48"/>
      <c r="H126" s="48" t="s">
        <v>195</v>
      </c>
      <c r="I126" s="48"/>
      <c r="J126" s="48"/>
      <c r="K126" s="48"/>
      <c r="L126" s="48"/>
      <c r="M126" s="49" t="s">
        <v>196</v>
      </c>
    </row>
    <row r="127" customFormat="false" ht="37.5" hidden="false" customHeight="true" outlineLevel="0" collapsed="false">
      <c r="A127" s="50"/>
      <c r="B127" s="33" t="str">
        <f aca="false">$A$5</f>
        <v>Formal training</v>
      </c>
      <c r="C127" s="33" t="str">
        <f aca="false">$A$6</f>
        <v>Written policy or guidelines only</v>
      </c>
      <c r="D127" s="33" t="str">
        <f aca="false">$A$7</f>
        <v>Informal advice only</v>
      </c>
      <c r="E127" s="33" t="str">
        <f aca="false">$A$8</f>
        <v>No guidance at all</v>
      </c>
      <c r="F127" s="33" t="s">
        <v>197</v>
      </c>
      <c r="H127" s="33" t="str">
        <f aca="false">$A$5</f>
        <v>Formal training</v>
      </c>
      <c r="I127" s="33" t="str">
        <f aca="false">$A$6</f>
        <v>Written policy or guidelines only</v>
      </c>
      <c r="J127" s="33" t="str">
        <f aca="false">$A$7</f>
        <v>Informal advice only</v>
      </c>
      <c r="K127" s="33" t="str">
        <f aca="false">$A$8</f>
        <v>No guidance at all</v>
      </c>
      <c r="L127" s="33" t="s">
        <v>197</v>
      </c>
    </row>
    <row r="128" customFormat="false" ht="15" hidden="false" customHeight="false" outlineLevel="0" collapsed="false">
      <c r="A128" s="26" t="s">
        <v>198</v>
      </c>
      <c r="B128" s="27" t="n">
        <f aca="false">COUNTIFS(Responses!$K$2:$K$1000,$A$5,Responses!$O$2:$O$1000,"&lt;&gt;")</f>
        <v>0</v>
      </c>
      <c r="C128" s="27" t="n">
        <f aca="false">COUNTIFS(Responses!$K$2:$K$1000,$A$6,Responses!$O$2:$O$1000,"&lt;&gt;")</f>
        <v>0</v>
      </c>
      <c r="D128" s="27" t="n">
        <f aca="false">COUNTIFS(Responses!$K$2:$K$1000,$A$7,Responses!$O$2:$O$1000,"&lt;&gt;")</f>
        <v>0</v>
      </c>
      <c r="E128" s="27" t="n">
        <f aca="false">COUNTIFS(Responses!$K$2:$K$1000,$A$8,Responses!$O$2:$O$1000,"&lt;&gt;")</f>
        <v>0</v>
      </c>
      <c r="F128" s="27" t="n">
        <f aca="false">COUNTA(Responses!$O$2:$O$1000)</f>
        <v>0</v>
      </c>
    </row>
    <row r="129" customFormat="false" ht="15" hidden="false" customHeight="false" outlineLevel="0" collapsed="false">
      <c r="A129" s="25" t="s">
        <v>169</v>
      </c>
      <c r="B129" s="11" t="n">
        <f aca="false">COUNTIFS(Responses!$O$2:$O$1000,$A129,Responses!$K$2:$K$1000,$A$5)</f>
        <v>0</v>
      </c>
      <c r="C129" s="11" t="n">
        <f aca="false">COUNTIFS(Responses!$O$2:$O$1000,$A129,Responses!$K$2:$K$1000,$A$6)</f>
        <v>0</v>
      </c>
      <c r="D129" s="11" t="n">
        <f aca="false">COUNTIFS(Responses!$O$2:$O$1000,$A129,Responses!$K$2:$K$1000,$A$7)</f>
        <v>0</v>
      </c>
      <c r="E129" s="11" t="n">
        <f aca="false">COUNTIFS(Responses!$O$2:$O$1000,$A129,Responses!$K$2:$K$1000,$A$8)</f>
        <v>0</v>
      </c>
      <c r="F129" s="11" t="n">
        <f aca="false">COUNTIF(Responses!$O$2:$O$1000,$A129)</f>
        <v>0</v>
      </c>
      <c r="H129" s="51" t="str">
        <f aca="false">IF(B$128=0,"",B129/B$128)</f>
        <v/>
      </c>
      <c r="I129" s="51" t="str">
        <f aca="false">IF(C$128=0,"",C129/C$128)</f>
        <v/>
      </c>
      <c r="J129" s="51" t="str">
        <f aca="false">IF(D$128=0,"",D129/D$128)</f>
        <v/>
      </c>
      <c r="K129" s="51" t="str">
        <f aca="false">IF(E$128=0,"",E129/E$128)</f>
        <v/>
      </c>
      <c r="L129" s="51" t="str">
        <f aca="false">IF(F$128=0,"",F129/F$128)</f>
        <v/>
      </c>
      <c r="M129" s="13" t="str">
        <f aca="false">IF(COUNT(H129:K129)&lt;2,"",MAX(H129:K129)-MIN(H129:K129))</f>
        <v/>
      </c>
      <c r="N129" s="52" t="s">
        <v>214</v>
      </c>
      <c r="O129" s="53" t="str">
        <f aca="false">IF(M129="","",M129+ROW()/1000000000)</f>
        <v/>
      </c>
      <c r="P129" s="52" t="str">
        <f aca="false">IF(M129="","",INDEX($A$5:$A$8,MATCH(MAX(H129:K129),H129:K129,0)))</f>
        <v/>
      </c>
      <c r="Q129" s="52" t="str">
        <f aca="false">IF(M129="","",INDEX($A$5:$A$8,MATCH(MIN(H129:K129),H129:K129,0)))</f>
        <v/>
      </c>
    </row>
    <row r="130" customFormat="false" ht="15" hidden="false" customHeight="false" outlineLevel="0" collapsed="false">
      <c r="A130" s="25" t="s">
        <v>62</v>
      </c>
      <c r="B130" s="11" t="n">
        <f aca="false">COUNTIFS(Responses!$O$2:$O$1000,$A130,Responses!$K$2:$K$1000,$A$5)</f>
        <v>0</v>
      </c>
      <c r="C130" s="11" t="n">
        <f aca="false">COUNTIFS(Responses!$O$2:$O$1000,$A130,Responses!$K$2:$K$1000,$A$6)</f>
        <v>0</v>
      </c>
      <c r="D130" s="11" t="n">
        <f aca="false">COUNTIFS(Responses!$O$2:$O$1000,$A130,Responses!$K$2:$K$1000,$A$7)</f>
        <v>0</v>
      </c>
      <c r="E130" s="11" t="n">
        <f aca="false">COUNTIFS(Responses!$O$2:$O$1000,$A130,Responses!$K$2:$K$1000,$A$8)</f>
        <v>0</v>
      </c>
      <c r="F130" s="11" t="n">
        <f aca="false">COUNTIF(Responses!$O$2:$O$1000,$A130)</f>
        <v>0</v>
      </c>
      <c r="H130" s="51" t="str">
        <f aca="false">IF(B$128=0,"",B130/B$128)</f>
        <v/>
      </c>
      <c r="I130" s="51" t="str">
        <f aca="false">IF(C$128=0,"",C130/C$128)</f>
        <v/>
      </c>
      <c r="J130" s="51" t="str">
        <f aca="false">IF(D$128=0,"",D130/D$128)</f>
        <v/>
      </c>
      <c r="K130" s="51" t="str">
        <f aca="false">IF(E$128=0,"",E130/E$128)</f>
        <v/>
      </c>
      <c r="L130" s="51" t="str">
        <f aca="false">IF(F$128=0,"",F130/F$128)</f>
        <v/>
      </c>
      <c r="M130" s="13" t="str">
        <f aca="false">IF(COUNT(H130:K130)&lt;2,"",MAX(H130:K130)-MIN(H130:K130))</f>
        <v/>
      </c>
      <c r="N130" s="52" t="s">
        <v>214</v>
      </c>
      <c r="O130" s="53" t="str">
        <f aca="false">IF(M130="","",M130+ROW()/1000000000)</f>
        <v/>
      </c>
      <c r="P130" s="52" t="str">
        <f aca="false">IF(M130="","",INDEX($A$5:$A$8,MATCH(MAX(H130:K130),H130:K130,0)))</f>
        <v/>
      </c>
      <c r="Q130" s="52" t="str">
        <f aca="false">IF(M130="","",INDEX($A$5:$A$8,MATCH(MIN(H130:K130),H130:K130,0)))</f>
        <v/>
      </c>
    </row>
    <row r="131" customFormat="false" ht="15" hidden="false" customHeight="false" outlineLevel="0" collapsed="false">
      <c r="A131" s="25" t="s">
        <v>170</v>
      </c>
      <c r="B131" s="11" t="n">
        <f aca="false">COUNTIFS(Responses!$O$2:$O$1000,$A131,Responses!$K$2:$K$1000,$A$5)</f>
        <v>0</v>
      </c>
      <c r="C131" s="11" t="n">
        <f aca="false">COUNTIFS(Responses!$O$2:$O$1000,$A131,Responses!$K$2:$K$1000,$A$6)</f>
        <v>0</v>
      </c>
      <c r="D131" s="11" t="n">
        <f aca="false">COUNTIFS(Responses!$O$2:$O$1000,$A131,Responses!$K$2:$K$1000,$A$7)</f>
        <v>0</v>
      </c>
      <c r="E131" s="11" t="n">
        <f aca="false">COUNTIFS(Responses!$O$2:$O$1000,$A131,Responses!$K$2:$K$1000,$A$8)</f>
        <v>0</v>
      </c>
      <c r="F131" s="11" t="n">
        <f aca="false">COUNTIF(Responses!$O$2:$O$1000,$A131)</f>
        <v>0</v>
      </c>
      <c r="H131" s="51" t="str">
        <f aca="false">IF(B$128=0,"",B131/B$128)</f>
        <v/>
      </c>
      <c r="I131" s="51" t="str">
        <f aca="false">IF(C$128=0,"",C131/C$128)</f>
        <v/>
      </c>
      <c r="J131" s="51" t="str">
        <f aca="false">IF(D$128=0,"",D131/D$128)</f>
        <v/>
      </c>
      <c r="K131" s="51" t="str">
        <f aca="false">IF(E$128=0,"",E131/E$128)</f>
        <v/>
      </c>
      <c r="L131" s="51" t="str">
        <f aca="false">IF(F$128=0,"",F131/F$128)</f>
        <v/>
      </c>
      <c r="M131" s="13" t="str">
        <f aca="false">IF(COUNT(H131:K131)&lt;2,"",MAX(H131:K131)-MIN(H131:K131))</f>
        <v/>
      </c>
      <c r="N131" s="52" t="s">
        <v>214</v>
      </c>
      <c r="O131" s="53" t="str">
        <f aca="false">IF(M131="","",M131+ROW()/1000000000)</f>
        <v/>
      </c>
      <c r="P131" s="52" t="str">
        <f aca="false">IF(M131="","",INDEX($A$5:$A$8,MATCH(MAX(H131:K131),H131:K131,0)))</f>
        <v/>
      </c>
      <c r="Q131" s="52" t="str">
        <f aca="false">IF(M131="","",INDEX($A$5:$A$8,MATCH(MIN(H131:K131),H131:K131,0)))</f>
        <v/>
      </c>
    </row>
    <row r="132" customFormat="false" ht="15" hidden="false" customHeight="false" outlineLevel="0" collapsed="false">
      <c r="A132" s="25" t="s">
        <v>171</v>
      </c>
      <c r="B132" s="11" t="n">
        <f aca="false">COUNTIFS(Responses!$O$2:$O$1000,$A132,Responses!$K$2:$K$1000,$A$5)</f>
        <v>0</v>
      </c>
      <c r="C132" s="11" t="n">
        <f aca="false">COUNTIFS(Responses!$O$2:$O$1000,$A132,Responses!$K$2:$K$1000,$A$6)</f>
        <v>0</v>
      </c>
      <c r="D132" s="11" t="n">
        <f aca="false">COUNTIFS(Responses!$O$2:$O$1000,$A132,Responses!$K$2:$K$1000,$A$7)</f>
        <v>0</v>
      </c>
      <c r="E132" s="11" t="n">
        <f aca="false">COUNTIFS(Responses!$O$2:$O$1000,$A132,Responses!$K$2:$K$1000,$A$8)</f>
        <v>0</v>
      </c>
      <c r="F132" s="11" t="n">
        <f aca="false">COUNTIF(Responses!$O$2:$O$1000,$A132)</f>
        <v>0</v>
      </c>
      <c r="H132" s="51" t="str">
        <f aca="false">IF(B$128=0,"",B132/B$128)</f>
        <v/>
      </c>
      <c r="I132" s="51" t="str">
        <f aca="false">IF(C$128=0,"",C132/C$128)</f>
        <v/>
      </c>
      <c r="J132" s="51" t="str">
        <f aca="false">IF(D$128=0,"",D132/D$128)</f>
        <v/>
      </c>
      <c r="K132" s="51" t="str">
        <f aca="false">IF(E$128=0,"",E132/E$128)</f>
        <v/>
      </c>
      <c r="L132" s="51" t="str">
        <f aca="false">IF(F$128=0,"",F132/F$128)</f>
        <v/>
      </c>
      <c r="M132" s="13" t="str">
        <f aca="false">IF(COUNT(H132:K132)&lt;2,"",MAX(H132:K132)-MIN(H132:K132))</f>
        <v/>
      </c>
      <c r="N132" s="52" t="s">
        <v>214</v>
      </c>
      <c r="O132" s="53" t="str">
        <f aca="false">IF(M132="","",M132+ROW()/1000000000)</f>
        <v/>
      </c>
      <c r="P132" s="52" t="str">
        <f aca="false">IF(M132="","",INDEX($A$5:$A$8,MATCH(MAX(H132:K132),H132:K132,0)))</f>
        <v/>
      </c>
      <c r="Q132" s="52" t="str">
        <f aca="false">IF(M132="","",INDEX($A$5:$A$8,MATCH(MIN(H132:K132),H132:K132,0)))</f>
        <v/>
      </c>
    </row>
    <row r="133" customFormat="false" ht="15" hidden="false" customHeight="false" outlineLevel="0" collapsed="false">
      <c r="A133" s="25" t="s">
        <v>172</v>
      </c>
      <c r="B133" s="11" t="n">
        <f aca="false">COUNTIFS(Responses!$O$2:$O$1000,$A133,Responses!$K$2:$K$1000,$A$5)</f>
        <v>0</v>
      </c>
      <c r="C133" s="11" t="n">
        <f aca="false">COUNTIFS(Responses!$O$2:$O$1000,$A133,Responses!$K$2:$K$1000,$A$6)</f>
        <v>0</v>
      </c>
      <c r="D133" s="11" t="n">
        <f aca="false">COUNTIFS(Responses!$O$2:$O$1000,$A133,Responses!$K$2:$K$1000,$A$7)</f>
        <v>0</v>
      </c>
      <c r="E133" s="11" t="n">
        <f aca="false">COUNTIFS(Responses!$O$2:$O$1000,$A133,Responses!$K$2:$K$1000,$A$8)</f>
        <v>0</v>
      </c>
      <c r="F133" s="11" t="n">
        <f aca="false">COUNTIF(Responses!$O$2:$O$1000,$A133)</f>
        <v>0</v>
      </c>
      <c r="H133" s="51" t="str">
        <f aca="false">IF(B$128=0,"",B133/B$128)</f>
        <v/>
      </c>
      <c r="I133" s="51" t="str">
        <f aca="false">IF(C$128=0,"",C133/C$128)</f>
        <v/>
      </c>
      <c r="J133" s="51" t="str">
        <f aca="false">IF(D$128=0,"",D133/D$128)</f>
        <v/>
      </c>
      <c r="K133" s="51" t="str">
        <f aca="false">IF(E$128=0,"",E133/E$128)</f>
        <v/>
      </c>
      <c r="L133" s="51" t="str">
        <f aca="false">IF(F$128=0,"",F133/F$128)</f>
        <v/>
      </c>
      <c r="M133" s="13" t="str">
        <f aca="false">IF(COUNT(H133:K133)&lt;2,"",MAX(H133:K133)-MIN(H133:K133))</f>
        <v/>
      </c>
      <c r="N133" s="52" t="s">
        <v>214</v>
      </c>
      <c r="O133" s="53" t="str">
        <f aca="false">IF(M133="","",M133+ROW()/1000000000)</f>
        <v/>
      </c>
      <c r="P133" s="52" t="str">
        <f aca="false">IF(M133="","",INDEX($A$5:$A$8,MATCH(MAX(H133:K133),H133:K133,0)))</f>
        <v/>
      </c>
      <c r="Q133" s="52" t="str">
        <f aca="false">IF(M133="","",INDEX($A$5:$A$8,MATCH(MIN(H133:K133),H133:K133,0)))</f>
        <v/>
      </c>
    </row>
    <row r="136" customFormat="false" ht="31.5" hidden="false" customHeight="true" outlineLevel="0" collapsed="false">
      <c r="A136" s="22" t="s">
        <v>92</v>
      </c>
      <c r="B136" s="4"/>
      <c r="C136" s="4"/>
      <c r="D136" s="4"/>
      <c r="E136" s="4"/>
      <c r="F136" s="4"/>
      <c r="G136" s="4"/>
      <c r="H136" s="4"/>
      <c r="I136" s="4"/>
      <c r="J136" s="4"/>
      <c r="K136" s="4"/>
      <c r="L136" s="4"/>
      <c r="M136" s="4"/>
    </row>
    <row r="137" customFormat="false" ht="23.85" hidden="false" customHeight="true" outlineLevel="0" collapsed="false">
      <c r="A137" s="23" t="s">
        <v>194</v>
      </c>
      <c r="B137" s="48" t="s">
        <v>99</v>
      </c>
      <c r="C137" s="48"/>
      <c r="D137" s="48"/>
      <c r="E137" s="48"/>
      <c r="F137" s="48"/>
      <c r="H137" s="48" t="s">
        <v>195</v>
      </c>
      <c r="I137" s="48"/>
      <c r="J137" s="48"/>
      <c r="K137" s="48"/>
      <c r="L137" s="48"/>
      <c r="M137" s="49" t="s">
        <v>196</v>
      </c>
    </row>
    <row r="138" customFormat="false" ht="37.5" hidden="false" customHeight="true" outlineLevel="0" collapsed="false">
      <c r="A138" s="50"/>
      <c r="B138" s="33" t="str">
        <f aca="false">$A$5</f>
        <v>Formal training</v>
      </c>
      <c r="C138" s="33" t="str">
        <f aca="false">$A$6</f>
        <v>Written policy or guidelines only</v>
      </c>
      <c r="D138" s="33" t="str">
        <f aca="false">$A$7</f>
        <v>Informal advice only</v>
      </c>
      <c r="E138" s="33" t="str">
        <f aca="false">$A$8</f>
        <v>No guidance at all</v>
      </c>
      <c r="F138" s="33" t="s">
        <v>197</v>
      </c>
      <c r="H138" s="33" t="str">
        <f aca="false">$A$5</f>
        <v>Formal training</v>
      </c>
      <c r="I138" s="33" t="str">
        <f aca="false">$A$6</f>
        <v>Written policy or guidelines only</v>
      </c>
      <c r="J138" s="33" t="str">
        <f aca="false">$A$7</f>
        <v>Informal advice only</v>
      </c>
      <c r="K138" s="33" t="str">
        <f aca="false">$A$8</f>
        <v>No guidance at all</v>
      </c>
      <c r="L138" s="33" t="s">
        <v>197</v>
      </c>
    </row>
    <row r="139" customFormat="false" ht="15" hidden="false" customHeight="false" outlineLevel="0" collapsed="false">
      <c r="A139" s="26" t="s">
        <v>198</v>
      </c>
      <c r="B139" s="27" t="n">
        <f aca="false">COUNTIFS(Responses!$K$2:$K$1000,$A$5,Responses!$P$2:$P$1000,"&lt;&gt;")</f>
        <v>0</v>
      </c>
      <c r="C139" s="27" t="n">
        <f aca="false">COUNTIFS(Responses!$K$2:$K$1000,$A$6,Responses!$P$2:$P$1000,"&lt;&gt;")</f>
        <v>0</v>
      </c>
      <c r="D139" s="27" t="n">
        <f aca="false">COUNTIFS(Responses!$K$2:$K$1000,$A$7,Responses!$P$2:$P$1000,"&lt;&gt;")</f>
        <v>0</v>
      </c>
      <c r="E139" s="27" t="n">
        <f aca="false">COUNTIFS(Responses!$K$2:$K$1000,$A$8,Responses!$P$2:$P$1000,"&lt;&gt;")</f>
        <v>0</v>
      </c>
      <c r="F139" s="27" t="n">
        <f aca="false">COUNTA(Responses!$P$2:$P$1000)</f>
        <v>0</v>
      </c>
    </row>
    <row r="140" customFormat="false" ht="15" hidden="false" customHeight="false" outlineLevel="0" collapsed="false">
      <c r="A140" s="25" t="s">
        <v>173</v>
      </c>
      <c r="B140" s="11" t="n">
        <f aca="false">COUNTIFS(Responses!$P$2:$P$1000,$A140,Responses!$K$2:$K$1000,$A$5)</f>
        <v>0</v>
      </c>
      <c r="C140" s="11" t="n">
        <f aca="false">COUNTIFS(Responses!$P$2:$P$1000,$A140,Responses!$K$2:$K$1000,$A$6)</f>
        <v>0</v>
      </c>
      <c r="D140" s="11" t="n">
        <f aca="false">COUNTIFS(Responses!$P$2:$P$1000,$A140,Responses!$K$2:$K$1000,$A$7)</f>
        <v>0</v>
      </c>
      <c r="E140" s="11" t="n">
        <f aca="false">COUNTIFS(Responses!$P$2:$P$1000,$A140,Responses!$K$2:$K$1000,$A$8)</f>
        <v>0</v>
      </c>
      <c r="F140" s="11" t="n">
        <f aca="false">COUNTIF(Responses!$P$2:$P$1000,$A140)</f>
        <v>0</v>
      </c>
      <c r="H140" s="51" t="str">
        <f aca="false">IF(B$139=0,"",B140/B$139)</f>
        <v/>
      </c>
      <c r="I140" s="51" t="str">
        <f aca="false">IF(C$139=0,"",C140/C$139)</f>
        <v/>
      </c>
      <c r="J140" s="51" t="str">
        <f aca="false">IF(D$139=0,"",D140/D$139)</f>
        <v/>
      </c>
      <c r="K140" s="51" t="str">
        <f aca="false">IF(E$139=0,"",E140/E$139)</f>
        <v/>
      </c>
      <c r="L140" s="51" t="str">
        <f aca="false">IF(F$139=0,"",F140/F$139)</f>
        <v/>
      </c>
      <c r="M140" s="13" t="str">
        <f aca="false">IF(COUNT(H140:K140)&lt;2,"",MAX(H140:K140)-MIN(H140:K140))</f>
        <v/>
      </c>
      <c r="N140" s="52" t="s">
        <v>215</v>
      </c>
      <c r="O140" s="53" t="str">
        <f aca="false">IF(M140="","",M140+ROW()/1000000000)</f>
        <v/>
      </c>
      <c r="P140" s="52" t="str">
        <f aca="false">IF(M140="","",INDEX($A$5:$A$8,MATCH(MAX(H140:K140),H140:K140,0)))</f>
        <v/>
      </c>
      <c r="Q140" s="52" t="str">
        <f aca="false">IF(M140="","",INDEX($A$5:$A$8,MATCH(MIN(H140:K140),H140:K140,0)))</f>
        <v/>
      </c>
    </row>
    <row r="141" customFormat="false" ht="15" hidden="false" customHeight="false" outlineLevel="0" collapsed="false">
      <c r="A141" s="25" t="s">
        <v>64</v>
      </c>
      <c r="B141" s="11" t="n">
        <f aca="false">COUNTIFS(Responses!$P$2:$P$1000,$A141,Responses!$K$2:$K$1000,$A$5)</f>
        <v>0</v>
      </c>
      <c r="C141" s="11" t="n">
        <f aca="false">COUNTIFS(Responses!$P$2:$P$1000,$A141,Responses!$K$2:$K$1000,$A$6)</f>
        <v>0</v>
      </c>
      <c r="D141" s="11" t="n">
        <f aca="false">COUNTIFS(Responses!$P$2:$P$1000,$A141,Responses!$K$2:$K$1000,$A$7)</f>
        <v>0</v>
      </c>
      <c r="E141" s="11" t="n">
        <f aca="false">COUNTIFS(Responses!$P$2:$P$1000,$A141,Responses!$K$2:$K$1000,$A$8)</f>
        <v>0</v>
      </c>
      <c r="F141" s="11" t="n">
        <f aca="false">COUNTIF(Responses!$P$2:$P$1000,$A141)</f>
        <v>0</v>
      </c>
      <c r="H141" s="51" t="str">
        <f aca="false">IF(B$139=0,"",B141/B$139)</f>
        <v/>
      </c>
      <c r="I141" s="51" t="str">
        <f aca="false">IF(C$139=0,"",C141/C$139)</f>
        <v/>
      </c>
      <c r="J141" s="51" t="str">
        <f aca="false">IF(D$139=0,"",D141/D$139)</f>
        <v/>
      </c>
      <c r="K141" s="51" t="str">
        <f aca="false">IF(E$139=0,"",E141/E$139)</f>
        <v/>
      </c>
      <c r="L141" s="51" t="str">
        <f aca="false">IF(F$139=0,"",F141/F$139)</f>
        <v/>
      </c>
      <c r="M141" s="13" t="str">
        <f aca="false">IF(COUNT(H141:K141)&lt;2,"",MAX(H141:K141)-MIN(H141:K141))</f>
        <v/>
      </c>
      <c r="N141" s="52" t="s">
        <v>215</v>
      </c>
      <c r="O141" s="53" t="str">
        <f aca="false">IF(M141="","",M141+ROW()/1000000000)</f>
        <v/>
      </c>
      <c r="P141" s="52" t="str">
        <f aca="false">IF(M141="","",INDEX($A$5:$A$8,MATCH(MAX(H141:K141),H141:K141,0)))</f>
        <v/>
      </c>
      <c r="Q141" s="52" t="str">
        <f aca="false">IF(M141="","",INDEX($A$5:$A$8,MATCH(MIN(H141:K141),H141:K141,0)))</f>
        <v/>
      </c>
    </row>
    <row r="142" customFormat="false" ht="15" hidden="false" customHeight="false" outlineLevel="0" collapsed="false">
      <c r="A142" s="25" t="s">
        <v>174</v>
      </c>
      <c r="B142" s="11" t="n">
        <f aca="false">COUNTIFS(Responses!$P$2:$P$1000,$A142,Responses!$K$2:$K$1000,$A$5)</f>
        <v>0</v>
      </c>
      <c r="C142" s="11" t="n">
        <f aca="false">COUNTIFS(Responses!$P$2:$P$1000,$A142,Responses!$K$2:$K$1000,$A$6)</f>
        <v>0</v>
      </c>
      <c r="D142" s="11" t="n">
        <f aca="false">COUNTIFS(Responses!$P$2:$P$1000,$A142,Responses!$K$2:$K$1000,$A$7)</f>
        <v>0</v>
      </c>
      <c r="E142" s="11" t="n">
        <f aca="false">COUNTIFS(Responses!$P$2:$P$1000,$A142,Responses!$K$2:$K$1000,$A$8)</f>
        <v>0</v>
      </c>
      <c r="F142" s="11" t="n">
        <f aca="false">COUNTIF(Responses!$P$2:$P$1000,$A142)</f>
        <v>0</v>
      </c>
      <c r="H142" s="51" t="str">
        <f aca="false">IF(B$139=0,"",B142/B$139)</f>
        <v/>
      </c>
      <c r="I142" s="51" t="str">
        <f aca="false">IF(C$139=0,"",C142/C$139)</f>
        <v/>
      </c>
      <c r="J142" s="51" t="str">
        <f aca="false">IF(D$139=0,"",D142/D$139)</f>
        <v/>
      </c>
      <c r="K142" s="51" t="str">
        <f aca="false">IF(E$139=0,"",E142/E$139)</f>
        <v/>
      </c>
      <c r="L142" s="51" t="str">
        <f aca="false">IF(F$139=0,"",F142/F$139)</f>
        <v/>
      </c>
      <c r="M142" s="13" t="str">
        <f aca="false">IF(COUNT(H142:K142)&lt;2,"",MAX(H142:K142)-MIN(H142:K142))</f>
        <v/>
      </c>
      <c r="N142" s="52" t="s">
        <v>215</v>
      </c>
      <c r="O142" s="53" t="str">
        <f aca="false">IF(M142="","",M142+ROW()/1000000000)</f>
        <v/>
      </c>
      <c r="P142" s="52" t="str">
        <f aca="false">IF(M142="","",INDEX($A$5:$A$8,MATCH(MAX(H142:K142),H142:K142,0)))</f>
        <v/>
      </c>
      <c r="Q142" s="52" t="str">
        <f aca="false">IF(M142="","",INDEX($A$5:$A$8,MATCH(MIN(H142:K142),H142:K142,0)))</f>
        <v/>
      </c>
    </row>
    <row r="143" customFormat="false" ht="15" hidden="false" customHeight="false" outlineLevel="0" collapsed="false">
      <c r="A143" s="25" t="s">
        <v>175</v>
      </c>
      <c r="B143" s="11" t="n">
        <f aca="false">COUNTIFS(Responses!$P$2:$P$1000,$A143,Responses!$K$2:$K$1000,$A$5)</f>
        <v>0</v>
      </c>
      <c r="C143" s="11" t="n">
        <f aca="false">COUNTIFS(Responses!$P$2:$P$1000,$A143,Responses!$K$2:$K$1000,$A$6)</f>
        <v>0</v>
      </c>
      <c r="D143" s="11" t="n">
        <f aca="false">COUNTIFS(Responses!$P$2:$P$1000,$A143,Responses!$K$2:$K$1000,$A$7)</f>
        <v>0</v>
      </c>
      <c r="E143" s="11" t="n">
        <f aca="false">COUNTIFS(Responses!$P$2:$P$1000,$A143,Responses!$K$2:$K$1000,$A$8)</f>
        <v>0</v>
      </c>
      <c r="F143" s="11" t="n">
        <f aca="false">COUNTIF(Responses!$P$2:$P$1000,$A143)</f>
        <v>0</v>
      </c>
      <c r="H143" s="51" t="str">
        <f aca="false">IF(B$139=0,"",B143/B$139)</f>
        <v/>
      </c>
      <c r="I143" s="51" t="str">
        <f aca="false">IF(C$139=0,"",C143/C$139)</f>
        <v/>
      </c>
      <c r="J143" s="51" t="str">
        <f aca="false">IF(D$139=0,"",D143/D$139)</f>
        <v/>
      </c>
      <c r="K143" s="51" t="str">
        <f aca="false">IF(E$139=0,"",E143/E$139)</f>
        <v/>
      </c>
      <c r="L143" s="51" t="str">
        <f aca="false">IF(F$139=0,"",F143/F$139)</f>
        <v/>
      </c>
      <c r="M143" s="13" t="str">
        <f aca="false">IF(COUNT(H143:K143)&lt;2,"",MAX(H143:K143)-MIN(H143:K143))</f>
        <v/>
      </c>
      <c r="N143" s="52" t="s">
        <v>215</v>
      </c>
      <c r="O143" s="53" t="str">
        <f aca="false">IF(M143="","",M143+ROW()/1000000000)</f>
        <v/>
      </c>
      <c r="P143" s="52" t="str">
        <f aca="false">IF(M143="","",INDEX($A$5:$A$8,MATCH(MAX(H143:K143),H143:K143,0)))</f>
        <v/>
      </c>
      <c r="Q143" s="52" t="str">
        <f aca="false">IF(M143="","",INDEX($A$5:$A$8,MATCH(MIN(H143:K143),H143:K143,0)))</f>
        <v/>
      </c>
    </row>
    <row r="144" customFormat="false" ht="15" hidden="false" customHeight="false" outlineLevel="0" collapsed="false">
      <c r="A144" s="25" t="s">
        <v>176</v>
      </c>
      <c r="B144" s="11" t="n">
        <f aca="false">COUNTIFS(Responses!$P$2:$P$1000,$A144,Responses!$K$2:$K$1000,$A$5)</f>
        <v>0</v>
      </c>
      <c r="C144" s="11" t="n">
        <f aca="false">COUNTIFS(Responses!$P$2:$P$1000,$A144,Responses!$K$2:$K$1000,$A$6)</f>
        <v>0</v>
      </c>
      <c r="D144" s="11" t="n">
        <f aca="false">COUNTIFS(Responses!$P$2:$P$1000,$A144,Responses!$K$2:$K$1000,$A$7)</f>
        <v>0</v>
      </c>
      <c r="E144" s="11" t="n">
        <f aca="false">COUNTIFS(Responses!$P$2:$P$1000,$A144,Responses!$K$2:$K$1000,$A$8)</f>
        <v>0</v>
      </c>
      <c r="F144" s="11" t="n">
        <f aca="false">COUNTIF(Responses!$P$2:$P$1000,$A144)</f>
        <v>0</v>
      </c>
      <c r="H144" s="51" t="str">
        <f aca="false">IF(B$139=0,"",B144/B$139)</f>
        <v/>
      </c>
      <c r="I144" s="51" t="str">
        <f aca="false">IF(C$139=0,"",C144/C$139)</f>
        <v/>
      </c>
      <c r="J144" s="51" t="str">
        <f aca="false">IF(D$139=0,"",D144/D$139)</f>
        <v/>
      </c>
      <c r="K144" s="51" t="str">
        <f aca="false">IF(E$139=0,"",E144/E$139)</f>
        <v/>
      </c>
      <c r="L144" s="51" t="str">
        <f aca="false">IF(F$139=0,"",F144/F$139)</f>
        <v/>
      </c>
      <c r="M144" s="13" t="str">
        <f aca="false">IF(COUNT(H144:K144)&lt;2,"",MAX(H144:K144)-MIN(H144:K144))</f>
        <v/>
      </c>
      <c r="N144" s="52" t="s">
        <v>215</v>
      </c>
      <c r="O144" s="53" t="str">
        <f aca="false">IF(M144="","",M144+ROW()/1000000000)</f>
        <v/>
      </c>
      <c r="P144" s="52" t="str">
        <f aca="false">IF(M144="","",INDEX($A$5:$A$8,MATCH(MAX(H144:K144),H144:K144,0)))</f>
        <v/>
      </c>
      <c r="Q144" s="52" t="str">
        <f aca="false">IF(M144="","",INDEX($A$5:$A$8,MATCH(MIN(H144:K144),H144:K144,0)))</f>
        <v/>
      </c>
    </row>
  </sheetData>
  <mergeCells count="36">
    <mergeCell ref="D11:G11"/>
    <mergeCell ref="H11:K11"/>
    <mergeCell ref="D12:G12"/>
    <mergeCell ref="H12:K12"/>
    <mergeCell ref="D13:G13"/>
    <mergeCell ref="H13:K13"/>
    <mergeCell ref="D14:G14"/>
    <mergeCell ref="H14:K14"/>
    <mergeCell ref="D15:G15"/>
    <mergeCell ref="H15:K15"/>
    <mergeCell ref="D16:G16"/>
    <mergeCell ref="H16:K16"/>
    <mergeCell ref="B22:F22"/>
    <mergeCell ref="H22:L22"/>
    <mergeCell ref="B32:F32"/>
    <mergeCell ref="H32:L32"/>
    <mergeCell ref="B42:F42"/>
    <mergeCell ref="H42:L42"/>
    <mergeCell ref="B53:F53"/>
    <mergeCell ref="H53:L53"/>
    <mergeCell ref="B66:F66"/>
    <mergeCell ref="H66:L66"/>
    <mergeCell ref="B77:F77"/>
    <mergeCell ref="H77:L77"/>
    <mergeCell ref="B86:F86"/>
    <mergeCell ref="H86:L86"/>
    <mergeCell ref="B94:F94"/>
    <mergeCell ref="H94:L94"/>
    <mergeCell ref="B105:F105"/>
    <mergeCell ref="H105:L105"/>
    <mergeCell ref="B118:F118"/>
    <mergeCell ref="H118:L118"/>
    <mergeCell ref="B126:F126"/>
    <mergeCell ref="H126:L126"/>
    <mergeCell ref="B137:F137"/>
    <mergeCell ref="H137:L137"/>
  </mergeCells>
  <conditionalFormatting sqref="B5:B8">
    <cfRule type="cellIs" priority="2" operator="lessThan" aboveAverage="0" equalAverage="0" bottom="0" percent="0" rank="0" text="" dxfId="1">
      <formula>Start_Here!$C$15</formula>
    </cfRule>
  </conditionalFormatting>
  <conditionalFormatting sqref="B24:E24">
    <cfRule type="cellIs" priority="3" operator="lessThan" aboveAverage="0" equalAverage="0" bottom="0" percent="0" rank="0" text="" dxfId="1">
      <formula>Start_Here!$C$15</formula>
    </cfRule>
  </conditionalFormatting>
  <conditionalFormatting sqref="B34:E34">
    <cfRule type="cellIs" priority="4" operator="lessThan" aboveAverage="0" equalAverage="0" bottom="0" percent="0" rank="0" text="" dxfId="1">
      <formula>Start_Here!$C$15</formula>
    </cfRule>
  </conditionalFormatting>
  <conditionalFormatting sqref="B44:E44">
    <cfRule type="cellIs" priority="5" operator="lessThan" aboveAverage="0" equalAverage="0" bottom="0" percent="0" rank="0" text="" dxfId="1">
      <formula>Start_Here!$C$15</formula>
    </cfRule>
  </conditionalFormatting>
  <conditionalFormatting sqref="B55:E55">
    <cfRule type="cellIs" priority="6" operator="lessThan" aboveAverage="0" equalAverage="0" bottom="0" percent="0" rank="0" text="" dxfId="1">
      <formula>Start_Here!$C$15</formula>
    </cfRule>
  </conditionalFormatting>
  <conditionalFormatting sqref="B68:E68">
    <cfRule type="cellIs" priority="7" operator="lessThan" aboveAverage="0" equalAverage="0" bottom="0" percent="0" rank="0" text="" dxfId="1">
      <formula>Start_Here!$C$15</formula>
    </cfRule>
  </conditionalFormatting>
  <conditionalFormatting sqref="B79:E79">
    <cfRule type="cellIs" priority="8" operator="lessThan" aboveAverage="0" equalAverage="0" bottom="0" percent="0" rank="0" text="" dxfId="1">
      <formula>Start_Here!$C$15</formula>
    </cfRule>
  </conditionalFormatting>
  <conditionalFormatting sqref="B88:E88">
    <cfRule type="cellIs" priority="9" operator="lessThan" aboveAverage="0" equalAverage="0" bottom="0" percent="0" rank="0" text="" dxfId="1">
      <formula>Start_Here!$C$15</formula>
    </cfRule>
  </conditionalFormatting>
  <conditionalFormatting sqref="B96:E96">
    <cfRule type="cellIs" priority="10" operator="lessThan" aboveAverage="0" equalAverage="0" bottom="0" percent="0" rank="0" text="" dxfId="1">
      <formula>Start_Here!$C$15</formula>
    </cfRule>
  </conditionalFormatting>
  <conditionalFormatting sqref="B107:E107">
    <cfRule type="cellIs" priority="11" operator="lessThan" aboveAverage="0" equalAverage="0" bottom="0" percent="0" rank="0" text="" dxfId="1">
      <formula>Start_Here!$C$15</formula>
    </cfRule>
  </conditionalFormatting>
  <conditionalFormatting sqref="B120:E120">
    <cfRule type="cellIs" priority="12" operator="lessThan" aboveAverage="0" equalAverage="0" bottom="0" percent="0" rank="0" text="" dxfId="1">
      <formula>Start_Here!$C$15</formula>
    </cfRule>
  </conditionalFormatting>
  <conditionalFormatting sqref="B128:E128">
    <cfRule type="cellIs" priority="13" operator="lessThan" aboveAverage="0" equalAverage="0" bottom="0" percent="0" rank="0" text="" dxfId="1">
      <formula>Start_Here!$C$15</formula>
    </cfRule>
  </conditionalFormatting>
  <conditionalFormatting sqref="B139:E139">
    <cfRule type="cellIs" priority="14" operator="lessThan" aboveAverage="0" equalAverage="0" bottom="0" percent="0" rank="0" text="" dxfId="1">
      <formula>Start_Here!$C$15</formula>
    </cfRule>
  </conditionalFormatting>
  <conditionalFormatting sqref="M21:M147">
    <cfRule type="expression" priority="15" aboveAverage="0" equalAverage="0" bottom="0" percent="0" rank="0" text="" dxfId="2">
      <formula>AND(ISNUMBER(M21),M21&gt;=Start_Here!$C$16,NOT(ISNUMBER(SEARCH("Mean",A21))))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1"/>
    <col collapsed="false" customWidth="true" hidden="false" outlineLevel="0" max="3" min="3" style="0" width="60"/>
    <col collapsed="false" customWidth="true" hidden="false" outlineLevel="0" max="4" min="4" style="0" width="26"/>
    <col collapsed="false" customWidth="true" hidden="false" outlineLevel="0" max="5" min="5" style="0" width="44"/>
    <col collapsed="false" customWidth="true" hidden="false" outlineLevel="0" max="6" min="6" style="0" width="16"/>
    <col collapsed="false" customWidth="true" hidden="false" outlineLevel="0" max="7" min="7" style="0" width="60"/>
  </cols>
  <sheetData>
    <row r="1" customFormat="false" ht="15" hidden="false" customHeight="false" outlineLevel="0" collapsed="false">
      <c r="A1" s="20" t="s">
        <v>221</v>
      </c>
      <c r="B1" s="20" t="s">
        <v>222</v>
      </c>
      <c r="C1" s="20" t="s">
        <v>223</v>
      </c>
      <c r="D1" s="20" t="s">
        <v>224</v>
      </c>
      <c r="E1" s="20" t="s">
        <v>225</v>
      </c>
      <c r="F1" s="20" t="s">
        <v>226</v>
      </c>
      <c r="G1" s="20" t="s">
        <v>227</v>
      </c>
    </row>
    <row r="2" customFormat="false" ht="22.35" hidden="false" customHeight="false" outlineLevel="0" collapsed="false">
      <c r="A2" s="44" t="s">
        <v>218</v>
      </c>
      <c r="B2" s="44" t="s">
        <v>228</v>
      </c>
      <c r="C2" s="44" t="s">
        <v>78</v>
      </c>
      <c r="D2" s="44" t="s">
        <v>229</v>
      </c>
      <c r="E2" s="44" t="s">
        <v>230</v>
      </c>
      <c r="F2" s="44" t="s">
        <v>231</v>
      </c>
      <c r="G2" s="44" t="s">
        <v>232</v>
      </c>
    </row>
    <row r="3" customFormat="false" ht="22.35" hidden="false" customHeight="false" outlineLevel="0" collapsed="false">
      <c r="A3" s="44" t="s">
        <v>199</v>
      </c>
      <c r="B3" s="44" t="s">
        <v>233</v>
      </c>
      <c r="C3" s="44" t="s">
        <v>79</v>
      </c>
      <c r="D3" s="44" t="s">
        <v>229</v>
      </c>
      <c r="E3" s="44" t="s">
        <v>234</v>
      </c>
      <c r="F3" s="44" t="s">
        <v>231</v>
      </c>
      <c r="G3" s="44" t="s">
        <v>235</v>
      </c>
    </row>
    <row r="4" customFormat="false" ht="22.35" hidden="false" customHeight="false" outlineLevel="0" collapsed="false">
      <c r="A4" s="44" t="s">
        <v>200</v>
      </c>
      <c r="B4" s="44" t="s">
        <v>236</v>
      </c>
      <c r="C4" s="44" t="s">
        <v>80</v>
      </c>
      <c r="D4" s="44" t="s">
        <v>229</v>
      </c>
      <c r="E4" s="44" t="s">
        <v>237</v>
      </c>
      <c r="F4" s="44" t="s">
        <v>231</v>
      </c>
      <c r="G4" s="44" t="s">
        <v>238</v>
      </c>
    </row>
    <row r="5" customFormat="false" ht="43.25" hidden="false" customHeight="false" outlineLevel="0" collapsed="false">
      <c r="A5" s="44" t="s">
        <v>201</v>
      </c>
      <c r="B5" s="44" t="s">
        <v>239</v>
      </c>
      <c r="C5" s="44" t="s">
        <v>81</v>
      </c>
      <c r="D5" s="44" t="s">
        <v>240</v>
      </c>
      <c r="E5" s="44" t="s">
        <v>241</v>
      </c>
      <c r="F5" s="44" t="s">
        <v>242</v>
      </c>
      <c r="G5" s="44" t="s">
        <v>243</v>
      </c>
    </row>
    <row r="6" customFormat="false" ht="22.35" hidden="false" customHeight="false" outlineLevel="0" collapsed="false">
      <c r="A6" s="44" t="s">
        <v>202</v>
      </c>
      <c r="B6" s="44" t="s">
        <v>244</v>
      </c>
      <c r="C6" s="44" t="s">
        <v>82</v>
      </c>
      <c r="D6" s="44" t="s">
        <v>229</v>
      </c>
      <c r="E6" s="44" t="s">
        <v>245</v>
      </c>
      <c r="F6" s="44" t="s">
        <v>242</v>
      </c>
      <c r="G6" s="44" t="s">
        <v>246</v>
      </c>
    </row>
    <row r="7" customFormat="false" ht="22.35" hidden="false" customHeight="false" outlineLevel="0" collapsed="false">
      <c r="A7" s="44" t="s">
        <v>204</v>
      </c>
      <c r="B7" s="44" t="s">
        <v>247</v>
      </c>
      <c r="C7" s="44" t="s">
        <v>83</v>
      </c>
      <c r="D7" s="44" t="s">
        <v>248</v>
      </c>
      <c r="E7" s="44" t="s">
        <v>249</v>
      </c>
      <c r="F7" s="44" t="s">
        <v>242</v>
      </c>
      <c r="G7" s="44" t="s">
        <v>250</v>
      </c>
    </row>
    <row r="8" customFormat="false" ht="22.35" hidden="false" customHeight="false" outlineLevel="0" collapsed="false">
      <c r="A8" s="44" t="s">
        <v>204</v>
      </c>
      <c r="B8" s="44" t="s">
        <v>251</v>
      </c>
      <c r="C8" s="44" t="s">
        <v>84</v>
      </c>
      <c r="D8" s="44" t="s">
        <v>248</v>
      </c>
      <c r="E8" s="44" t="s">
        <v>249</v>
      </c>
      <c r="F8" s="44" t="s">
        <v>242</v>
      </c>
      <c r="G8" s="44"/>
    </row>
    <row r="9" customFormat="false" ht="22.35" hidden="false" customHeight="false" outlineLevel="0" collapsed="false">
      <c r="A9" s="44" t="s">
        <v>204</v>
      </c>
      <c r="B9" s="44" t="s">
        <v>252</v>
      </c>
      <c r="C9" s="44" t="s">
        <v>85</v>
      </c>
      <c r="D9" s="44" t="s">
        <v>248</v>
      </c>
      <c r="E9" s="44" t="s">
        <v>249</v>
      </c>
      <c r="F9" s="44" t="s">
        <v>242</v>
      </c>
      <c r="G9" s="44"/>
    </row>
    <row r="10" customFormat="false" ht="22.35" hidden="false" customHeight="false" outlineLevel="0" collapsed="false">
      <c r="A10" s="44" t="s">
        <v>208</v>
      </c>
      <c r="B10" s="44" t="s">
        <v>253</v>
      </c>
      <c r="C10" s="44" t="s">
        <v>86</v>
      </c>
      <c r="D10" s="44" t="s">
        <v>254</v>
      </c>
      <c r="E10" s="44" t="s">
        <v>255</v>
      </c>
      <c r="F10" s="44" t="s">
        <v>242</v>
      </c>
      <c r="G10" s="44" t="s">
        <v>256</v>
      </c>
    </row>
    <row r="11" customFormat="false" ht="22.35" hidden="false" customHeight="false" outlineLevel="0" collapsed="false">
      <c r="A11" s="44" t="s">
        <v>210</v>
      </c>
      <c r="B11" s="44" t="s">
        <v>257</v>
      </c>
      <c r="C11" s="44" t="s">
        <v>87</v>
      </c>
      <c r="D11" s="44" t="s">
        <v>229</v>
      </c>
      <c r="E11" s="44" t="s">
        <v>258</v>
      </c>
      <c r="F11" s="44" t="s">
        <v>231</v>
      </c>
      <c r="G11" s="44" t="s">
        <v>259</v>
      </c>
    </row>
    <row r="12" customFormat="false" ht="22.35" hidden="false" customHeight="false" outlineLevel="0" collapsed="false">
      <c r="A12" s="44" t="s">
        <v>211</v>
      </c>
      <c r="B12" s="44" t="s">
        <v>260</v>
      </c>
      <c r="C12" s="44" t="s">
        <v>88</v>
      </c>
      <c r="D12" s="44" t="s">
        <v>229</v>
      </c>
      <c r="E12" s="44" t="s">
        <v>261</v>
      </c>
      <c r="F12" s="44" t="s">
        <v>231</v>
      </c>
      <c r="G12" s="44" t="s">
        <v>262</v>
      </c>
    </row>
    <row r="13" customFormat="false" ht="43.25" hidden="false" customHeight="false" outlineLevel="0" collapsed="false">
      <c r="A13" s="44" t="s">
        <v>212</v>
      </c>
      <c r="B13" s="44" t="s">
        <v>263</v>
      </c>
      <c r="C13" s="44" t="s">
        <v>89</v>
      </c>
      <c r="D13" s="44" t="s">
        <v>240</v>
      </c>
      <c r="E13" s="44" t="s">
        <v>264</v>
      </c>
      <c r="F13" s="44" t="s">
        <v>231</v>
      </c>
      <c r="G13" s="44" t="s">
        <v>265</v>
      </c>
    </row>
    <row r="14" customFormat="false" ht="22.35" hidden="false" customHeight="false" outlineLevel="0" collapsed="false">
      <c r="A14" s="44" t="s">
        <v>213</v>
      </c>
      <c r="B14" s="44" t="s">
        <v>266</v>
      </c>
      <c r="C14" s="44" t="s">
        <v>90</v>
      </c>
      <c r="D14" s="44" t="s">
        <v>254</v>
      </c>
      <c r="E14" s="44" t="s">
        <v>267</v>
      </c>
      <c r="F14" s="44" t="s">
        <v>231</v>
      </c>
      <c r="G14" s="44" t="s">
        <v>268</v>
      </c>
    </row>
    <row r="15" customFormat="false" ht="32.8" hidden="false" customHeight="false" outlineLevel="0" collapsed="false">
      <c r="A15" s="44" t="s">
        <v>214</v>
      </c>
      <c r="B15" s="44" t="s">
        <v>269</v>
      </c>
      <c r="C15" s="44" t="s">
        <v>91</v>
      </c>
      <c r="D15" s="44" t="s">
        <v>229</v>
      </c>
      <c r="E15" s="44" t="s">
        <v>270</v>
      </c>
      <c r="F15" s="44" t="s">
        <v>231</v>
      </c>
      <c r="G15" s="44" t="s">
        <v>271</v>
      </c>
    </row>
    <row r="16" customFormat="false" ht="22.35" hidden="false" customHeight="false" outlineLevel="0" collapsed="false">
      <c r="A16" s="44" t="s">
        <v>215</v>
      </c>
      <c r="B16" s="44" t="s">
        <v>272</v>
      </c>
      <c r="C16" s="44" t="s">
        <v>92</v>
      </c>
      <c r="D16" s="44" t="s">
        <v>229</v>
      </c>
      <c r="E16" s="44" t="s">
        <v>273</v>
      </c>
      <c r="F16" s="44" t="s">
        <v>231</v>
      </c>
      <c r="G16" s="44" t="s">
        <v>274</v>
      </c>
    </row>
    <row r="17" customFormat="false" ht="22.35" hidden="false" customHeight="false" outlineLevel="0" collapsed="false">
      <c r="A17" s="44" t="s">
        <v>275</v>
      </c>
      <c r="B17" s="44" t="s">
        <v>221</v>
      </c>
      <c r="C17" s="44" t="s">
        <v>93</v>
      </c>
      <c r="D17" s="44" t="s">
        <v>276</v>
      </c>
      <c r="E17" s="44" t="s">
        <v>277</v>
      </c>
      <c r="F17" s="44" t="s">
        <v>231</v>
      </c>
      <c r="G17" s="44" t="s">
        <v>278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2026-10-16T18:17:09Z</dcterms:created>
  <dc:creator>openpyxl</dc:creator>
  <dc:description/>
  <dc:language>en-US</dc:language>
  <cp:lastModifiedBy/>
  <dcterms:modified xsi:type="dcterms:W3CDTF">2026-10-16T18:17:12Z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